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M-05 Giam sa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<sst xmlns="http://schemas.openxmlformats.org/spreadsheetml/2006/main" count="14" uniqueCount="14">
  <si>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BM-05 · BÁO CÁO GIÁM SÁT MARGIN HẰNG NGÀY</t>
  </si>
  <si>
    <t xml:space="preserve">MV-08 · Dư nợ vs room theo mã/ngành; % tỷ trọng, ngưỡng cảnh báo, call/force, trạng thái. Ô vàng = nhập tay.</t>
  </si>
  <si>
    <t xml:space="preserve">Ngày báo cáo:</t>
  </si>
  <si>
    <t xml:space="preserve">Mã / Ngành</t>
  </si>
  <si>
    <t xml:space="preserve">Hạn mức (đồng)</t>
  </si>
  <si>
    <t xml:space="preserve">Dư nợ hiện tại (đồng)</t>
  </si>
  <si>
    <t xml:space="preserve">% Tỷ trọng</t>
  </si>
  <si>
    <t xml:space="preserve">Ngưỡng cảnh báo</t>
  </si>
  <si>
    <t xml:space="preserve">Call/Force</t>
  </si>
  <si>
    <t xml:space="preserve">Trạng thái</t>
  </si>
  <si>
    <t xml:space="preserve">Mã A</t>
  </si>
  <si>
    <t xml:space="preserve">Ngành NH</t>
  </si>
  <si>
    <t xml:space="preserve">Mã C</t>
  </si>
  <si>
    <t xml:space="preserve">ℹ % Tỷ trọng = Dư nợ / Hạn mức. Trạng thái tự tính theo ngưỡng 80 / 90 / 100% room. Cột Call/Force: nhập số KH/dư nợ có nguy cơ.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</si>
</sst>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3A5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E3A5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7D6"/>
        <bgColor rgb="FFFFFFFF"/>
      </patternFill>
    </fill>
    <fill>
      <patternFill patternType="solid">
        <fgColor rgb="FFD5E8F0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4D0"/>
      <rgbColor rgb="FF808080"/>
      <rgbColor rgb="FF9999FF"/>
      <rgbColor rgb="FF993366"/>
      <rgbColor rgb="FFFFF7D6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7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/>
    </row>
    <row r="5" customFormat="false" ht="23.8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customFormat="false" ht="15" hidden="false" customHeight="false" outlineLevel="0" collapsed="false">
      <c r="A6" s="6" t="s">
        <v>10</v>
      </c>
      <c r="B6" s="7" t="n">
        <v>200000000000</v>
      </c>
      <c r="C6" s="7" t="n">
        <v>150000000000</v>
      </c>
      <c r="D6" s="8" t="n">
        <f aca="false">IF(B6=0,0,C6/B6)</f>
        <v>0.75</v>
      </c>
      <c r="E6" s="9" t="n">
        <v>0.8</v>
      </c>
      <c r="F6" s="10"/>
      <c r="G6" s="11" t="str">
        <f aca="false">IF(D6&gt;=1,"Vượt room",IF(D6&gt;=0.9,"Cảnh báo cao",IF(D6&gt;=E6,"Cảnh báo","An toàn")))</f>
        <v>An toàn</v>
      </c>
    </row>
    <row r="7" customFormat="false" ht="15" hidden="false" customHeight="false" outlineLevel="0" collapsed="false">
      <c r="A7" s="6" t="s">
        <v>11</v>
      </c>
      <c r="B7" s="7" t="n">
        <v>500000000000</v>
      </c>
      <c r="C7" s="7" t="n">
        <v>470000000000</v>
      </c>
      <c r="D7" s="8" t="n">
        <f aca="false">IF(B7=0,0,C7/B7)</f>
        <v>0.94</v>
      </c>
      <c r="E7" s="9" t="n">
        <v>0.8</v>
      </c>
      <c r="F7" s="10"/>
      <c r="G7" s="11" t="str">
        <f aca="false">IF(D7&gt;=1,"Vượt room",IF(D7&gt;=0.9,"Cảnh báo cao",IF(D7&gt;=E7,"Cảnh báo","An toàn")))</f>
        <v>Cảnh báo cao</v>
      </c>
    </row>
    <row r="8" customFormat="false" ht="15" hidden="false" customHeight="false" outlineLevel="0" collapsed="false">
      <c r="A8" s="6" t="s">
        <v>12</v>
      </c>
      <c r="B8" s="7" t="n">
        <v>80000000000</v>
      </c>
      <c r="C8" s="7" t="n">
        <v>78000000000</v>
      </c>
      <c r="D8" s="8" t="n">
        <f aca="false">IF(B8=0,0,C8/B8)</f>
        <v>0.975</v>
      </c>
      <c r="E8" s="9" t="n">
        <v>0.9</v>
      </c>
      <c r="F8" s="10"/>
      <c r="G8" s="11" t="str">
        <f aca="false">IF(D8&gt;=1,"Vượt room",IF(D8&gt;=0.9,"Cảnh báo cao",IF(D8&gt;=E8,"Cảnh báo","An toàn")))</f>
        <v>Cảnh báo cao</v>
      </c>
    </row>
    <row r="10" customFormat="false" ht="15" hidden="false" customHeight="false" outlineLevel="0" collapsed="false">
      <c r="A10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2026-07-16T13:30:04Z</dcterms:created>
  <dc:creator>openpyxl</dc:creator>
  <dc:description/>
  <dc:language>en-US</dc:language>
  <cp:lastModifiedBy/>
  <dcterms:modified xsi:type="dcterms:W3CDTF">2026-07-16T13:30:04Z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