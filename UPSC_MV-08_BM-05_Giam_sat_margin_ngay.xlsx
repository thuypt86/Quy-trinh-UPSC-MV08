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Giám sát margin ngày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<sst xmlns="http://schemas.openxmlformats.org/spreadsheetml/2006/main" count="25" uniqueCount="23">
  <si>
    <t xml:space="preserve">CÔNG TY CỔ PHẦN CHỨNG KHOÁN UP — BM-05</t>
  </si>
  <si>
    <t xml:space="preserve">BÁO CÁO GIÁM SÁT SỬ DỤNG MARGIN HẰNG NGÀY</t>
  </si>
  <si>
    <t xml:space="preserve">Ngày báo cáo:</t>
  </si>
  <si>
    <t xml:space="preserve">...... / ...... / ..........</t>
  </si>
  <si>
    <t xml:space="preserve">Người lập:</t>
  </si>
  <si>
    <t xml:space="preserve">............................</t>
  </si>
  <si>
    <t xml:space="preserve">Mã / Nhóm</t>
  </si>
  <si>
    <t xml:space="preserve">Hạn mức (đồng)</t>
  </si>
  <si>
    <t xml:space="preserve">Dư nợ hiện tại (đồng)</t>
  </si>
  <si>
    <t xml:space="preserve">% sử dụng</t>
  </si>
  <si>
    <t xml:space="preserve">Ngưỡng cảnh báo</t>
  </si>
  <si>
    <t xml:space="preserve">Trạng thái</t>
  </si>
  <si>
    <t xml:space="preserve">VNM</t>
  </si>
  <si>
    <t xml:space="preserve">80/90/100%</t>
  </si>
  <si>
    <t xml:space="preserve">VCB</t>
  </si>
  <si>
    <t xml:space="preserve">XYZ</t>
  </si>
  <si>
    <t xml:space="preserve">TỔNG</t>
  </si>
  <si>
    <t xml:space="preserve">Tổng dư nợ margin (đồng)</t>
  </si>
  <si>
    <t xml:space="preserve">Tổng hạn mức / Room (đồng)</t>
  </si>
  <si>
    <t xml:space="preserve">Vốn chủ sở hữu (VCSH) (đồng)</t>
  </si>
  <si>
    <t xml:space="preserve">Tỷ lệ dư nợ / VCSH (≤ 200%)</t>
  </si>
  <si>
    <t xml:space="preserve">Số mã chạm ngưỡng (≥ 80%)</t>
  </si>
  <si>
    <t xml:space="preserve">Ghi chú: % sử dụng = Dư nợ / Hạn mức. Trạng thái tự động theo ngưỡng 80% / 90% / 100%.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</si>
</sst>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1F3864"/>
      <name val="Arial"/>
      <family val="0"/>
      <charset val="1"/>
    </font>
    <font>
      <b val="true"/>
      <sz val="11"/>
      <color rgb="FF2E5496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9"/>
      <color rgb="FF0000FF"/>
      <name val="Arial"/>
      <family val="0"/>
      <charset val="1"/>
    </font>
    <font>
      <b val="true"/>
      <sz val="9"/>
      <name val="Arial"/>
      <family val="0"/>
      <charset val="1"/>
    </font>
    <font>
      <sz val="9"/>
      <name val="Arial"/>
      <family val="0"/>
      <charset val="1"/>
    </font>
    <font>
      <i val="true"/>
      <sz val="9"/>
      <color rgb="FF80808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7A6D"/>
        <bgColor rgb="FF008080"/>
      </patternFill>
    </fill>
    <fill>
      <patternFill patternType="solid">
        <fgColor rgb="FFD9E1F2"/>
        <bgColor rgb="FFF2F2F2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7A6D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20"/>
    <col collapsed="false" customWidth="true" hidden="false" outlineLevel="0" max="4" min="4" style="0" width="11"/>
    <col collapsed="false" customWidth="true" hidden="false" outlineLevel="0" max="6" min="5" style="0" width="14"/>
  </cols>
  <sheetData>
    <row r="1" customFormat="false" ht="16.1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3" t="s">
        <v>2</v>
      </c>
      <c r="C3" s="4" t="s">
        <v>3</v>
      </c>
    </row>
    <row r="4" customFormat="false" ht="15" hidden="false" customHeight="false" outlineLevel="0" collapsed="false">
      <c r="A4" s="3" t="s">
        <v>4</v>
      </c>
      <c r="C4" s="4" t="s">
        <v>5</v>
      </c>
    </row>
    <row r="6" customFormat="false" ht="27.75" hidden="false" customHeight="true" outlineLevel="0" collapsed="false">
      <c r="A6" s="5" t="s">
        <v>6</v>
      </c>
      <c r="B6" s="5" t="s">
        <v>7</v>
      </c>
      <c r="C6" s="5" t="s">
        <v>8</v>
      </c>
      <c r="D6" s="5" t="s">
        <v>9</v>
      </c>
      <c r="E6" s="5" t="s">
        <v>10</v>
      </c>
      <c r="F6" s="5" t="s">
        <v>11</v>
      </c>
    </row>
    <row r="7" customFormat="false" ht="15" hidden="false" customHeight="false" outlineLevel="0" collapsed="false">
      <c r="A7" s="6" t="s">
        <v>12</v>
      </c>
      <c r="B7" s="7" t="n">
        <v>175000000000</v>
      </c>
      <c r="C7" s="7" t="n">
        <v>120000000000</v>
      </c>
      <c r="D7" s="8" t="n">
        <f aca="false">IF(B7=0,0,C7/B7)</f>
        <v>0.685714285714286</v>
      </c>
      <c r="E7" s="9" t="s">
        <v>13</v>
      </c>
      <c r="F7" s="10" t="str">
        <f aca="false">IF(D7&gt;=1,"Vượt room",IF(D7&gt;=0.9,"Cảnh báo cao",IF(D7&gt;=0.8,"Theo dõi","Bình thường")))</f>
        <v>Bình thường</v>
      </c>
    </row>
    <row r="8" customFormat="false" ht="15" hidden="false" customHeight="false" outlineLevel="0" collapsed="false">
      <c r="A8" s="6" t="s">
        <v>14</v>
      </c>
      <c r="B8" s="7" t="n">
        <v>1237500000000</v>
      </c>
      <c r="C8" s="7" t="n">
        <v>900000000000</v>
      </c>
      <c r="D8" s="8" t="n">
        <f aca="false">IF(B8=0,0,C8/B8)</f>
        <v>0.727272727272727</v>
      </c>
      <c r="E8" s="9" t="s">
        <v>13</v>
      </c>
      <c r="F8" s="10" t="str">
        <f aca="false">IF(D8&gt;=1,"Vượt room",IF(D8&gt;=0.9,"Cảnh báo cao",IF(D8&gt;=0.8,"Theo dõi","Bình thường")))</f>
        <v>Bình thường</v>
      </c>
    </row>
    <row r="9" customFormat="false" ht="15" hidden="false" customHeight="false" outlineLevel="0" collapsed="false">
      <c r="A9" s="6" t="s">
        <v>15</v>
      </c>
      <c r="B9" s="7" t="n">
        <v>1404000000</v>
      </c>
      <c r="C9" s="7" t="n">
        <v>1350000000</v>
      </c>
      <c r="D9" s="8" t="n">
        <f aca="false">IF(B9=0,0,C9/B9)</f>
        <v>0.961538461538462</v>
      </c>
      <c r="E9" s="9" t="s">
        <v>13</v>
      </c>
      <c r="F9" s="10" t="str">
        <f aca="false">IF(D9&gt;=1,"Vượt room",IF(D9&gt;=0.9,"Cảnh báo cao",IF(D9&gt;=0.8,"Theo dõi","Bình thường")))</f>
        <v>Cảnh báo cao</v>
      </c>
    </row>
    <row r="10" customFormat="false" ht="15" hidden="false" customHeight="false" outlineLevel="0" collapsed="false">
      <c r="A10" s="11"/>
      <c r="B10" s="11"/>
      <c r="C10" s="11"/>
      <c r="D10" s="12" t="str">
        <f aca="false">IF(OR(B10="",B10=0),"",C10/B10)</f>
        <v/>
      </c>
      <c r="E10" s="11"/>
      <c r="F10" s="11" t="str">
        <f aca="false">IF(B10="","",IF(D10&gt;=1,"Vượt room",IF(D10&gt;=0.9,"Cảnh báo cao",IF(D10&gt;=0.8,"Theo dõi","Bình thường"))))</f>
        <v/>
      </c>
    </row>
    <row r="11" customFormat="false" ht="15" hidden="false" customHeight="false" outlineLevel="0" collapsed="false">
      <c r="A11" s="11"/>
      <c r="B11" s="11"/>
      <c r="C11" s="11"/>
      <c r="D11" s="12" t="str">
        <f aca="false">IF(OR(B11="",B11=0),"",C11/B11)</f>
        <v/>
      </c>
      <c r="E11" s="11"/>
      <c r="F11" s="11" t="str">
        <f aca="false">IF(B11="","",IF(D11&gt;=1,"Vượt room",IF(D11&gt;=0.9,"Cảnh báo cao",IF(D11&gt;=0.8,"Theo dõi","Bình thường"))))</f>
        <v/>
      </c>
    </row>
    <row r="12" customFormat="false" ht="15" hidden="false" customHeight="false" outlineLevel="0" collapsed="false">
      <c r="A12" s="11"/>
      <c r="B12" s="11"/>
      <c r="C12" s="11"/>
      <c r="D12" s="12" t="str">
        <f aca="false">IF(OR(B12="",B12=0),"",C12/B12)</f>
        <v/>
      </c>
      <c r="E12" s="11"/>
      <c r="F12" s="11" t="str">
        <f aca="false">IF(B12="","",IF(D12&gt;=1,"Vượt room",IF(D12&gt;=0.9,"Cảnh báo cao",IF(D12&gt;=0.8,"Theo dõi","Bình thường"))))</f>
        <v/>
      </c>
    </row>
    <row r="13" customFormat="false" ht="15" hidden="false" customHeight="false" outlineLevel="0" collapsed="false">
      <c r="A13" s="11"/>
      <c r="B13" s="11"/>
      <c r="C13" s="11"/>
      <c r="D13" s="12" t="str">
        <f aca="false">IF(OR(B13="",B13=0),"",C13/B13)</f>
        <v/>
      </c>
      <c r="E13" s="11"/>
      <c r="F13" s="11" t="str">
        <f aca="false">IF(B13="","",IF(D13&gt;=1,"Vượt room",IF(D13&gt;=0.9,"Cảnh báo cao",IF(D13&gt;=0.8,"Theo dõi","Bình thường"))))</f>
        <v/>
      </c>
    </row>
    <row r="14" customFormat="false" ht="15" hidden="false" customHeight="false" outlineLevel="0" collapsed="false">
      <c r="A14" s="13" t="s">
        <v>16</v>
      </c>
      <c r="B14" s="14" t="n">
        <f aca="false">SUM(B7:B13)</f>
        <v>1413904000000</v>
      </c>
      <c r="C14" s="14" t="n">
        <f aca="false">SUM(C7:C13)</f>
        <v>1021350000000</v>
      </c>
      <c r="D14" s="15" t="n">
        <f aca="false">IF(B14=0,0,C14/B14)</f>
        <v>0.722361631341308</v>
      </c>
      <c r="E14" s="16"/>
      <c r="F14" s="16"/>
    </row>
    <row r="16" customFormat="false" ht="15" hidden="false" customHeight="false" outlineLevel="0" collapsed="false">
      <c r="A16" s="17" t="s">
        <v>17</v>
      </c>
      <c r="B16" s="18" t="n">
        <f aca="false">C14</f>
        <v>1021350000000</v>
      </c>
    </row>
    <row r="17" customFormat="false" ht="15" hidden="false" customHeight="false" outlineLevel="0" collapsed="false">
      <c r="A17" s="17" t="s">
        <v>18</v>
      </c>
      <c r="B17" s="18" t="n">
        <f aca="false">B14</f>
        <v>1413904000000</v>
      </c>
    </row>
    <row r="18" customFormat="false" ht="15" hidden="false" customHeight="false" outlineLevel="0" collapsed="false">
      <c r="A18" s="17" t="s">
        <v>19</v>
      </c>
      <c r="B18" s="19"/>
    </row>
    <row r="19" customFormat="false" ht="15" hidden="false" customHeight="false" outlineLevel="0" collapsed="false">
      <c r="A19" s="17" t="s">
        <v>20</v>
      </c>
      <c r="B19" s="20" t="n">
        <f aca="false">IF(B18=0,0,B16/B18)</f>
        <v>0</v>
      </c>
    </row>
    <row r="20" customFormat="false" ht="15" hidden="false" customHeight="false" outlineLevel="0" collapsed="false">
      <c r="A20" s="17" t="s">
        <v>21</v>
      </c>
      <c r="B20" s="21" t="n">
        <f aca="false">COUNTIF(D7:D13,"&gt;=0.8")</f>
        <v>1</v>
      </c>
    </row>
    <row r="22" customFormat="false" ht="15" hidden="false" customHeight="false" outlineLevel="0" collapsed="false">
      <c r="A22" s="22" t="s">
        <v>22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2026-07-01T02:02:21Z</dcterms:created>
  <dc:creator>openpyxl</dc:creator>
  <dc:description/>
  <dc:language>en-US</dc:language>
  <cp:lastModifiedBy/>
  <dcterms:modified xsi:type="dcterms:W3CDTF">2026-07-01T02:02:21Z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