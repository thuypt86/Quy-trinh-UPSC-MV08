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uong dan" sheetId="1" state="visible" r:id="rId3"/>
    <sheet name="Tai chinh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<sst xmlns="http://schemas.openxmlformats.org/spreadsheetml/2006/main" count="19" uniqueCount="19">
  <si>
    <t xml:space="preserve">PL-01 · MODEL ĐÁNH GIÁ CHỨNG KHOÁN CHO VAY KÝ QUỸ (THAM KHẢO)</t>
  </si>
  <si>
    <t xml:space="preserve">MV-08 · Phương pháp luận đính kèm. Chấm điểm margin: nhóm phi tài chính (9 chỉ tiêu) &amp; tài chính (Tier→LTV).</t>
  </si>
  <si>
    <t xml:space="preserve">Margin Score = P1·25% + P2·15% + P3·10% + P4·10% + P5·5% + P6·10% + P7·5% + P8·10% + P9·10%</t>
  </si>
  <si>
    <t xml:space="preserve">→ Phân loại: Tiêu chuẩn / Cần theo dõi / Không cho vay.</t>
  </si>
  <si>
    <t xml:space="preserve">Loại trừ: Black-list (theo phương pháp luận đính kèm; do có vay 3 bên chỉ loại trừ blacklist).</t>
  </si>
  <si>
    <t xml:space="preserve">LTV theo xếp hạng &amp; Tier ngành tài chính; tối đa 70% với cấu trúc vay 3 bên.</t>
  </si>
  <si>
    <t xml:space="preserve">Sheet Tài chính (Tier → LTV → Room)</t>
  </si>
  <si>
    <t xml:space="preserve">Mã CK</t>
  </si>
  <si>
    <t xml:space="preserve">Ngành (NH/CK/BH)</t>
  </si>
  <si>
    <t xml:space="preserve">KLGD 3T (CP)</t>
  </si>
  <si>
    <t xml:space="preserve">KLGD 1T (CP)</t>
  </si>
  <si>
    <t xml:space="preserve">Giá TT</t>
  </si>
  <si>
    <t xml:space="preserve">LTV (%)</t>
  </si>
  <si>
    <t xml:space="preserve">Hệ số nhân</t>
  </si>
  <si>
    <t xml:space="preserve">Room (CP)</t>
  </si>
  <si>
    <t xml:space="preserve">VCB</t>
  </si>
  <si>
    <t xml:space="preserve">SSI</t>
  </si>
  <si>
    <t xml:space="preserve">BVH</t>
  </si>
  <si>
    <t xml:space="preserve">ℹ Room = min(KLGD 3T, KLGD 1T) × LTV × hệ số nhân.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</si>
</sst>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E3A5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sz val="11"/>
      <color rgb="FF0C4A6E"/>
      <name val="Arial"/>
      <family val="0"/>
      <charset val="1"/>
    </font>
    <font>
      <b val="true"/>
      <sz val="10"/>
      <color rgb="FF1E3A5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5E8F0"/>
        <bgColor rgb="FFCCFFFF"/>
      </patternFill>
    </fill>
    <fill>
      <patternFill patternType="solid">
        <fgColor rgb="FFFFF7D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8C4D0"/>
      </left>
      <right style="thin">
        <color rgb="FFB8C4D0"/>
      </right>
      <top style="thin">
        <color rgb="FFB8C4D0"/>
      </top>
      <bottom style="thin">
        <color rgb="FFB8C4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8C4D0"/>
      <rgbColor rgb="FF808080"/>
      <rgbColor rgb="FF9999FF"/>
      <rgbColor rgb="FF993366"/>
      <rgbColor rgb="FFFFF7D6"/>
      <rgbColor rgb="FFD5E8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1E3A5F"/>
      <rgbColor rgb="FF339966"/>
      <rgbColor rgb="FF003300"/>
      <rgbColor rgb="FF333300"/>
      <rgbColor rgb="FF993300"/>
      <rgbColor rgb="FF993366"/>
      <rgbColor rgb="FF0C4A6E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4" min="3" style="0" width="14"/>
    <col collapsed="false" customWidth="true" hidden="false" outlineLevel="0" max="6" min="5" style="0" width="10"/>
    <col collapsed="false" customWidth="true" hidden="false" outlineLevel="0" max="7" min="7" style="0" width="12"/>
    <col collapsed="false" customWidth="true" hidden="false" outlineLevel="0" max="8" min="8" style="0" width="14"/>
  </cols>
  <sheetData>
    <row r="1" customFormat="false" ht="17.35" hidden="false" customHeight="false" outlineLevel="0" collapsed="false">
      <c r="A1" s="1" t="s">
        <v>6</v>
      </c>
    </row>
    <row r="3" customFormat="false" ht="23.85" hidden="false" customHeight="false" outlineLevel="0" collapsed="false">
      <c r="A3" s="4" t="s">
        <v>7</v>
      </c>
      <c r="B3" s="4" t="s">
        <v>8</v>
      </c>
      <c r="C3" s="4" t="s">
        <v>9</v>
      </c>
      <c r="D3" s="4" t="s">
        <v>10</v>
      </c>
      <c r="E3" s="4" t="s">
        <v>11</v>
      </c>
      <c r="F3" s="4" t="s">
        <v>12</v>
      </c>
      <c r="G3" s="4" t="s">
        <v>13</v>
      </c>
      <c r="H3" s="4" t="s">
        <v>14</v>
      </c>
    </row>
    <row r="4" customFormat="false" ht="15" hidden="false" customHeight="false" outlineLevel="0" collapsed="false">
      <c r="A4" s="5" t="s">
        <v>15</v>
      </c>
      <c r="B4" s="6"/>
      <c r="C4" s="6"/>
      <c r="D4" s="6"/>
      <c r="E4" s="6"/>
      <c r="F4" s="6"/>
      <c r="G4" s="6"/>
      <c r="H4" s="7" t="n">
        <f aca="false">MIN(C4,D4)*F4*G4</f>
        <v>0</v>
      </c>
    </row>
    <row r="5" customFormat="false" ht="15" hidden="false" customHeight="false" outlineLevel="0" collapsed="false">
      <c r="A5" s="5" t="s">
        <v>16</v>
      </c>
      <c r="B5" s="6"/>
      <c r="C5" s="6"/>
      <c r="D5" s="6"/>
      <c r="E5" s="6"/>
      <c r="F5" s="6"/>
      <c r="G5" s="6"/>
      <c r="H5" s="7" t="n">
        <f aca="false">MIN(C5,D5)*F5*G5</f>
        <v>0</v>
      </c>
    </row>
    <row r="6" customFormat="false" ht="15" hidden="false" customHeight="false" outlineLevel="0" collapsed="false">
      <c r="A6" s="5" t="s">
        <v>17</v>
      </c>
      <c r="B6" s="6"/>
      <c r="C6" s="6"/>
      <c r="D6" s="6"/>
      <c r="E6" s="6"/>
      <c r="F6" s="6"/>
      <c r="G6" s="6"/>
      <c r="H6" s="7" t="n">
        <f aca="false">MIN(C6,D6)*F6*G6</f>
        <v>0</v>
      </c>
    </row>
    <row r="8" customFormat="false" ht="15" hidden="false" customHeight="false" outlineLevel="0" collapsed="false">
      <c r="A8" s="2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2026-07-16T13:30:04Z</dcterms:created>
  <dc:creator>openpyxl</dc:creator>
  <dc:description/>
  <dc:language>en-US</dc:language>
  <cp:lastModifiedBy/>
  <dcterms:modified xsi:type="dcterms:W3CDTF">2026-07-16T13:30:04Z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