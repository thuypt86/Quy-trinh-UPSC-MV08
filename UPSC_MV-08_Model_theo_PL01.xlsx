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Tham số" sheetId="2" state="visible" r:id="rId4"/>
    <sheet name="Phi tài chính" sheetId="3" state="visible" r:id="rId5"/>
    <sheet name="Tài chín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<sst xmlns="http://schemas.openxmlformats.org/spreadsheetml/2006/main" count="132" uniqueCount="99">
  <si>
    <t xml:space="preserve">UPSC — MV-08 · MODEL ĐÁNH GIÁ CHỨNG KHOÁN CHO VAY KÝ QUỸ</t>
  </si>
  <si>
    <t xml:space="preserve">Bản tham khảo — bám sát Phụ lục 01 (NCPT). Cập nhật theo bản chính thức khi có.</t>
  </si>
  <si>
    <t xml:space="preserve">Cấu trúc model</t>
  </si>
  <si>
    <t xml:space="preserve">Phân 3 danh mục: Tiêu chuẩn (White-list), Cần theo dõi (Gray-list), Không cho vay (Black-list).</t>
  </si>
  <si>
    <t xml:space="preserve">Chấm điểm theo 2 nhánh: cổ phiếu TÀI CHÍNH (ngân hàng/chứng khoán/bảo hiểm) và PHI TÀI CHÍNH.</t>
  </si>
  <si>
    <t xml:space="preserve">Sheet trong file</t>
  </si>
  <si>
    <t xml:space="preserve">Phi tài chính</t>
  </si>
  <si>
    <t xml:space="preserve">Chấm điểm 9 chỉ số Margin Score → xếp hạng → LTV → điều chỉnh → room → giá chặn.</t>
  </si>
  <si>
    <t xml:space="preserve">Tài chính</t>
  </si>
  <si>
    <t xml:space="preserve">Xếp hạng theo tiêu chí ngành → LTV (Tier) → room → giá chặn.</t>
  </si>
  <si>
    <t xml:space="preserve">Tham số</t>
  </si>
  <si>
    <t xml:space="preserve">Bảng tra: LTV theo rank, hệ số nhân room, điều chỉnh rủi ro, Tier ngành tài chính.</t>
  </si>
  <si>
    <t xml:space="preserve">Margin Score (phi TC)</t>
  </si>
  <si>
    <t xml:space="preserve">MC = P1·25% + P2·15% + P3·10% + P4·10% + P5·5% + P6·10% + P7·5% + P8·10% + P9·10%</t>
  </si>
  <si>
    <t xml:space="preserve">Quy đổi điểm</t>
  </si>
  <si>
    <t xml:space="preserve">Mỗi chỉ số: rank 1–100 = 7đ; mỗi 100 bậc giảm 1đ; rank ≥ 701 = 0đ.</t>
  </si>
  <si>
    <t xml:space="preserve">LTV theo tổng điểm</t>
  </si>
  <si>
    <t xml:space="preserve">1–150→50%, 151–200→45%, 201–250→40%, 251–300→30%, 301–400→20%, 401–450→10%, &gt;450→0%.</t>
  </si>
  <si>
    <t xml:space="preserve">Điều chỉnh LTV</t>
  </si>
  <si>
    <t xml:space="preserve">Tăng vốn 2 năm &gt;100%: −10%, &gt;200%: −20%. KLGD1T/CP lưu hành 3–5%: −10%, &gt;5%: −20%.</t>
  </si>
  <si>
    <t xml:space="preserve">Room</t>
  </si>
  <si>
    <t xml:space="preserve">Số CP tối đa = min(KLGD 3T, KLGD 1T) × LTV × Hệ số nhân. Hệ số theo KLGD 3T: &gt;500k=5;300–500k=4;150–300k=3;50–150k=2;20–50k=1;&lt;20k → Không cho vay.</t>
  </si>
  <si>
    <t xml:space="preserve">Giá chặn</t>
  </si>
  <si>
    <t xml:space="preserve">Tiêu chuẩn = giá thị trường; Cần theo dõi = min(giá cao 52T; 120%×giá TB20N; 200%×giá thấp 52T).</t>
  </si>
  <si>
    <t xml:space="preserve">Hạn mức cho vay</t>
  </si>
  <si>
    <t xml:space="preserve">Bằng Room (số CP) × Giá chặn.</t>
  </si>
  <si>
    <t xml:space="preserve">Tier ngành tài chính</t>
  </si>
  <si>
    <t xml:space="preserve">Ngân hàng: dư nợ cho vay &gt; 200.000 tỷ → LTV 50%, còn lại 40%.</t>
  </si>
  <si>
    <t xml:space="preserve">Chứng khoán (thị phần MG): Top10→50%, Top11–20→40%, Top21–30→30%, còn lại 0%.</t>
  </si>
  <si>
    <t xml:space="preserve">Bảo hiểm (KLGD TB 3T): &gt;1tr CP/phiên→50%, 500k–1tr→40%, 200k–500k→30%, còn lại 0%.</t>
  </si>
  <si>
    <t xml:space="preserve">Black-list</t>
  </si>
  <si>
    <t xml:space="preserve">KLGD khớp lệnh TB 1 hoặc 3 tháng &lt; 20.000 CP/ngày &amp; GTGD &lt; 1 tỷ/ngày; hoặc vốn hóa &lt; 100 tỷ.</t>
  </si>
  <si>
    <t xml:space="preserve">Gray-list</t>
  </si>
  <si>
    <t xml:space="preserve">Có cờ theo dõi (KQKD tiêu cực, đòn bẩy cao, định giá cao/thanh khoản kém, tin tiêu cực…) hoặc giá tăng &gt; 50%/tháng.</t>
  </si>
  <si>
    <t xml:space="preserve">Nhập liệu</t>
  </si>
  <si>
    <t xml:space="preserve">Điền các ô MÀU XANH; cột tính toán tự cập nhật. Khi thêm dòng, kéo công thức và mở rộng vùng RANK.</t>
  </si>
  <si>
    <t xml:space="preserve">Lưu ý</t>
  </si>
  <si>
    <t xml:space="preserve">Model dùng xếp hạng tương quan trên toàn bộ vũ trụ đầu tư — nên nhập đủ số mã để điểm phản ánh đúng.</t>
  </si>
  <si>
    <t xml:space="preserve">LTV theo xếp hạng (cận dưới)</t>
  </si>
  <si>
    <t xml:space="preserve">LTV (%)</t>
  </si>
  <si>
    <t xml:space="preserve">KLGD 3T (cận dưới)</t>
  </si>
  <si>
    <t xml:space="preserve">Hệ số nhân</t>
  </si>
  <si>
    <t xml:space="preserve">Ngân hàng: dư nợ &gt; 200.000 tỷ</t>
  </si>
  <si>
    <t xml:space="preserve">Ngân hàng: còn lại</t>
  </si>
  <si>
    <t xml:space="preserve">Chứng khoán: Top 10 thị phần</t>
  </si>
  <si>
    <t xml:space="preserve">Chứng khoán: Top 11–20</t>
  </si>
  <si>
    <t xml:space="preserve">Chứng khoán: Top 21–30</t>
  </si>
  <si>
    <t xml:space="preserve">Chứng khoán: còn lại</t>
  </si>
  <si>
    <t xml:space="preserve">Bảo hiểm: KLGD TB &gt; 1tr CP/phiên</t>
  </si>
  <si>
    <t xml:space="preserve">Bảo hiểm: 500k–1tr</t>
  </si>
  <si>
    <t xml:space="preserve">Bảo hiểm: 200k–500k</t>
  </si>
  <si>
    <t xml:space="preserve">Bảo hiểm: còn lại</t>
  </si>
  <si>
    <t xml:space="preserve">Điểm P1</t>
  </si>
  <si>
    <t xml:space="preserve">Điểm P2</t>
  </si>
  <si>
    <t xml:space="preserve">Điểm P3</t>
  </si>
  <si>
    <t xml:space="preserve">Điểm P4</t>
  </si>
  <si>
    <t xml:space="preserve">Điểm P5</t>
  </si>
  <si>
    <t xml:space="preserve">Điểm P6</t>
  </si>
  <si>
    <t xml:space="preserve">Điểm P7</t>
  </si>
  <si>
    <t xml:space="preserve">Điểm P8</t>
  </si>
  <si>
    <t xml:space="preserve">Điểm P9</t>
  </si>
  <si>
    <t xml:space="preserve">MC</t>
  </si>
  <si>
    <t xml:space="preserve">Xếp hạng MC</t>
  </si>
  <si>
    <t xml:space="preserve">LTV cơ sở (%)</t>
  </si>
  <si>
    <t xml:space="preserve">ĐC tăng vốn (%)</t>
  </si>
  <si>
    <t xml:space="preserve">ĐC thanh khoản (%)</t>
  </si>
  <si>
    <t xml:space="preserve">LTV cuối (%)</t>
  </si>
  <si>
    <t xml:space="preserve">Phân loại</t>
  </si>
  <si>
    <t xml:space="preserve">Room (số CP)</t>
  </si>
  <si>
    <t xml:space="preserve">Giá chặn (đồng)</t>
  </si>
  <si>
    <t xml:space="preserve">Hạn mức cho vay (đồng)</t>
  </si>
  <si>
    <t xml:space="preserve">% tăng giá 1T</t>
  </si>
  <si>
    <t xml:space="preserve">Cờ theo dõi (x)</t>
  </si>
  <si>
    <t xml:space="preserve">VNM</t>
  </si>
  <si>
    <t xml:space="preserve">HOSE</t>
  </si>
  <si>
    <t xml:space="preserve">HPG</t>
  </si>
  <si>
    <t xml:space="preserve">DGC</t>
  </si>
  <si>
    <t xml:space="preserve">DEF</t>
  </si>
  <si>
    <t xml:space="preserve">XYZ</t>
  </si>
  <si>
    <t xml:space="preserve">HNX</t>
  </si>
  <si>
    <t xml:space="preserve">x</t>
  </si>
  <si>
    <t xml:space="preserve">ABC</t>
  </si>
  <si>
    <t xml:space="preserve">UPCOM</t>
  </si>
  <si>
    <t xml:space="preserve">Mã CK</t>
  </si>
  <si>
    <t xml:space="preserve">Ngành (NH/CK/BH)</t>
  </si>
  <si>
    <t xml:space="preserve">Chỉ tiêu xếp hạng*</t>
  </si>
  <si>
    <t xml:space="preserve">KLGD 3T (CP)</t>
  </si>
  <si>
    <t xml:space="preserve">KLGD 1T (CP)</t>
  </si>
  <si>
    <t xml:space="preserve">Giá thị trường</t>
  </si>
  <si>
    <t xml:space="preserve">VCB</t>
  </si>
  <si>
    <t xml:space="preserve">NH</t>
  </si>
  <si>
    <t xml:space="preserve">ACB</t>
  </si>
  <si>
    <t xml:space="preserve">SSI</t>
  </si>
  <si>
    <t xml:space="preserve">CK</t>
  </si>
  <si>
    <t xml:space="preserve">VND</t>
  </si>
  <si>
    <t xml:space="preserve">BVH</t>
  </si>
  <si>
    <t xml:space="preserve">BH</t>
  </si>
  <si>
    <t xml:space="preserve">BMI</t>
  </si>
  <si>
    <t xml:space="preserve">* Chỉ tiêu xếp hạng: NH = dư nợ cho vay (tỷ đồng); CK = hạng thị phần môi giới (số); BH = KLGD TB 3 tháng (CP/phiên). Giá chặn tài chính = giá thị trường (White-list).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</si>
</sst>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2E549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7A6D"/>
        <bgColor rgb="FF008080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D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6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  <c r="C5" s="4"/>
      <c r="D5" s="5"/>
    </row>
    <row r="6" customFormat="false" ht="23.85" hidden="false" customHeight="false" outlineLevel="0" collapsed="false">
      <c r="B6" s="6" t="s">
        <v>2</v>
      </c>
      <c r="C6" s="4"/>
      <c r="D6" s="5" t="s">
        <v>3</v>
      </c>
    </row>
    <row r="7" customFormat="false" ht="23.85" hidden="false" customHeight="false" outlineLevel="0" collapsed="false">
      <c r="B7" s="3"/>
      <c r="C7" s="4"/>
      <c r="D7" s="5" t="s">
        <v>4</v>
      </c>
    </row>
    <row r="8" customFormat="false" ht="15" hidden="false" customHeight="false" outlineLevel="0" collapsed="false">
      <c r="B8" s="3"/>
      <c r="C8" s="4"/>
      <c r="D8" s="5"/>
    </row>
    <row r="9" customFormat="false" ht="15" hidden="false" customHeight="false" outlineLevel="0" collapsed="false">
      <c r="B9" s="6" t="s">
        <v>5</v>
      </c>
      <c r="C9" s="4"/>
      <c r="D9" s="5"/>
    </row>
    <row r="10" customFormat="false" ht="23.85" hidden="false" customHeight="false" outlineLevel="0" collapsed="false">
      <c r="B10" s="6" t="s">
        <v>6</v>
      </c>
      <c r="C10" s="4"/>
      <c r="D10" s="5" t="s">
        <v>7</v>
      </c>
    </row>
    <row r="11" customFormat="false" ht="15" hidden="false" customHeight="false" outlineLevel="0" collapsed="false">
      <c r="B11" s="6" t="s">
        <v>8</v>
      </c>
      <c r="C11" s="4"/>
      <c r="D11" s="5" t="s">
        <v>9</v>
      </c>
    </row>
    <row r="12" customFormat="false" ht="23.85" hidden="false" customHeight="false" outlineLevel="0" collapsed="false">
      <c r="B12" s="6" t="s">
        <v>10</v>
      </c>
      <c r="C12" s="4"/>
      <c r="D12" s="5" t="s">
        <v>11</v>
      </c>
    </row>
    <row r="13" customFormat="false" ht="15" hidden="false" customHeight="false" outlineLevel="0" collapsed="false">
      <c r="B13" s="3"/>
      <c r="C13" s="4"/>
      <c r="D13" s="5"/>
    </row>
    <row r="14" customFormat="false" ht="23.85" hidden="false" customHeight="false" outlineLevel="0" collapsed="false">
      <c r="B14" s="6" t="s">
        <v>12</v>
      </c>
      <c r="C14" s="4"/>
      <c r="D14" s="5" t="s">
        <v>13</v>
      </c>
    </row>
    <row r="15" customFormat="false" ht="15" hidden="false" customHeight="false" outlineLevel="0" collapsed="false">
      <c r="B15" s="6" t="s">
        <v>14</v>
      </c>
      <c r="C15" s="4"/>
      <c r="D15" s="5" t="s">
        <v>15</v>
      </c>
    </row>
    <row r="16" customFormat="false" ht="23.85" hidden="false" customHeight="false" outlineLevel="0" collapsed="false">
      <c r="B16" s="6" t="s">
        <v>16</v>
      </c>
      <c r="C16" s="4"/>
      <c r="D16" s="5" t="s">
        <v>17</v>
      </c>
    </row>
    <row r="17" customFormat="false" ht="23.85" hidden="false" customHeight="false" outlineLevel="0" collapsed="false">
      <c r="B17" s="6" t="s">
        <v>18</v>
      </c>
      <c r="C17" s="4"/>
      <c r="D17" s="5" t="s">
        <v>19</v>
      </c>
    </row>
    <row r="18" customFormat="false" ht="35.05" hidden="false" customHeight="false" outlineLevel="0" collapsed="false">
      <c r="B18" s="6" t="s">
        <v>20</v>
      </c>
      <c r="C18" s="4"/>
      <c r="D18" s="5" t="s">
        <v>21</v>
      </c>
    </row>
    <row r="19" customFormat="false" ht="23.85" hidden="false" customHeight="false" outlineLevel="0" collapsed="false">
      <c r="B19" s="6" t="s">
        <v>22</v>
      </c>
      <c r="C19" s="4"/>
      <c r="D19" s="5" t="s">
        <v>23</v>
      </c>
    </row>
    <row r="20" customFormat="false" ht="15" hidden="false" customHeight="false" outlineLevel="0" collapsed="false">
      <c r="B20" s="6" t="s">
        <v>24</v>
      </c>
      <c r="C20" s="4"/>
      <c r="D20" s="5" t="s">
        <v>25</v>
      </c>
    </row>
    <row r="21" customFormat="false" ht="15" hidden="false" customHeight="false" outlineLevel="0" collapsed="false">
      <c r="B21" s="3"/>
      <c r="C21" s="4"/>
      <c r="D21" s="5"/>
    </row>
    <row r="22" customFormat="false" ht="15" hidden="false" customHeight="false" outlineLevel="0" collapsed="false">
      <c r="B22" s="6" t="s">
        <v>26</v>
      </c>
      <c r="C22" s="4"/>
      <c r="D22" s="5" t="s">
        <v>27</v>
      </c>
    </row>
    <row r="23" customFormat="false" ht="23.85" hidden="false" customHeight="false" outlineLevel="0" collapsed="false">
      <c r="B23" s="3"/>
      <c r="C23" s="4"/>
      <c r="D23" s="5" t="s">
        <v>28</v>
      </c>
    </row>
    <row r="24" customFormat="false" ht="23.85" hidden="false" customHeight="false" outlineLevel="0" collapsed="false">
      <c r="B24" s="3"/>
      <c r="C24" s="4"/>
      <c r="D24" s="5" t="s">
        <v>29</v>
      </c>
    </row>
    <row r="25" customFormat="false" ht="15" hidden="false" customHeight="false" outlineLevel="0" collapsed="false">
      <c r="B25" s="3"/>
      <c r="C25" s="4"/>
      <c r="D25" s="5"/>
    </row>
    <row r="26" customFormat="false" ht="23.85" hidden="false" customHeight="false" outlineLevel="0" collapsed="false">
      <c r="B26" s="6" t="s">
        <v>30</v>
      </c>
      <c r="C26" s="4"/>
      <c r="D26" s="5" t="s">
        <v>31</v>
      </c>
    </row>
    <row r="27" customFormat="false" ht="23.85" hidden="false" customHeight="false" outlineLevel="0" collapsed="false">
      <c r="B27" s="6" t="s">
        <v>32</v>
      </c>
      <c r="C27" s="4"/>
      <c r="D27" s="5" t="s">
        <v>33</v>
      </c>
    </row>
    <row r="28" customFormat="false" ht="23.85" hidden="false" customHeight="false" outlineLevel="0" collapsed="false">
      <c r="B28" s="6" t="s">
        <v>34</v>
      </c>
      <c r="C28" s="4"/>
      <c r="D28" s="5" t="s">
        <v>35</v>
      </c>
    </row>
    <row r="29" customFormat="false" ht="23.85" hidden="false" customHeight="false" outlineLevel="0" collapsed="false">
      <c r="B29" s="6" t="s">
        <v>36</v>
      </c>
      <c r="C29" s="4"/>
      <c r="D29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7" min="7" style="0" width="3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6" t="s">
        <v>38</v>
      </c>
      <c r="B1" s="6" t="s">
        <v>39</v>
      </c>
      <c r="D1" s="6" t="s">
        <v>40</v>
      </c>
      <c r="E1" s="6" t="s">
        <v>41</v>
      </c>
      <c r="G1" s="6" t="s">
        <v>26</v>
      </c>
      <c r="H1" s="6" t="s">
        <v>39</v>
      </c>
    </row>
    <row r="2" customFormat="false" ht="15" hidden="false" customHeight="false" outlineLevel="0" collapsed="false">
      <c r="A2" s="0" t="n">
        <v>1</v>
      </c>
      <c r="B2" s="0" t="n">
        <v>50</v>
      </c>
      <c r="D2" s="0" t="n">
        <v>0</v>
      </c>
      <c r="E2" s="0" t="n">
        <v>0</v>
      </c>
      <c r="G2" s="0" t="s">
        <v>42</v>
      </c>
      <c r="H2" s="0" t="n">
        <v>50</v>
      </c>
    </row>
    <row r="3" customFormat="false" ht="15" hidden="false" customHeight="false" outlineLevel="0" collapsed="false">
      <c r="A3" s="0" t="n">
        <v>151</v>
      </c>
      <c r="B3" s="0" t="n">
        <v>45</v>
      </c>
      <c r="D3" s="0" t="n">
        <v>20000</v>
      </c>
      <c r="E3" s="0" t="n">
        <v>1</v>
      </c>
      <c r="G3" s="0" t="s">
        <v>43</v>
      </c>
      <c r="H3" s="0" t="n">
        <v>40</v>
      </c>
    </row>
    <row r="4" customFormat="false" ht="15" hidden="false" customHeight="false" outlineLevel="0" collapsed="false">
      <c r="A4" s="0" t="n">
        <v>201</v>
      </c>
      <c r="B4" s="0" t="n">
        <v>40</v>
      </c>
      <c r="D4" s="0" t="n">
        <v>50000</v>
      </c>
      <c r="E4" s="0" t="n">
        <v>2</v>
      </c>
      <c r="G4" s="0" t="s">
        <v>44</v>
      </c>
      <c r="H4" s="0" t="n">
        <v>50</v>
      </c>
    </row>
    <row r="5" customFormat="false" ht="15" hidden="false" customHeight="false" outlineLevel="0" collapsed="false">
      <c r="A5" s="0" t="n">
        <v>251</v>
      </c>
      <c r="B5" s="0" t="n">
        <v>30</v>
      </c>
      <c r="D5" s="0" t="n">
        <v>150000</v>
      </c>
      <c r="E5" s="0" t="n">
        <v>3</v>
      </c>
      <c r="G5" s="0" t="s">
        <v>45</v>
      </c>
      <c r="H5" s="0" t="n">
        <v>40</v>
      </c>
    </row>
    <row r="6" customFormat="false" ht="15" hidden="false" customHeight="false" outlineLevel="0" collapsed="false">
      <c r="A6" s="0" t="n">
        <v>301</v>
      </c>
      <c r="B6" s="0" t="n">
        <v>20</v>
      </c>
      <c r="D6" s="0" t="n">
        <v>300000</v>
      </c>
      <c r="E6" s="0" t="n">
        <v>4</v>
      </c>
      <c r="G6" s="0" t="s">
        <v>46</v>
      </c>
      <c r="H6" s="0" t="n">
        <v>30</v>
      </c>
    </row>
    <row r="7" customFormat="false" ht="15" hidden="false" customHeight="false" outlineLevel="0" collapsed="false">
      <c r="A7" s="0" t="n">
        <v>401</v>
      </c>
      <c r="B7" s="0" t="n">
        <v>10</v>
      </c>
      <c r="D7" s="0" t="n">
        <v>500000</v>
      </c>
      <c r="E7" s="0" t="n">
        <v>5</v>
      </c>
      <c r="G7" s="0" t="s">
        <v>47</v>
      </c>
      <c r="H7" s="0" t="n">
        <v>0</v>
      </c>
    </row>
    <row r="8" customFormat="false" ht="15" hidden="false" customHeight="false" outlineLevel="0" collapsed="false">
      <c r="A8" s="0" t="n">
        <v>451</v>
      </c>
      <c r="B8" s="0" t="n">
        <v>0</v>
      </c>
      <c r="G8" s="0" t="s">
        <v>48</v>
      </c>
      <c r="H8" s="0" t="n">
        <v>50</v>
      </c>
    </row>
    <row r="9" customFormat="false" ht="15" hidden="false" customHeight="false" outlineLevel="0" collapsed="false">
      <c r="G9" s="0" t="s">
        <v>49</v>
      </c>
      <c r="H9" s="0" t="n">
        <v>40</v>
      </c>
    </row>
    <row r="10" customFormat="false" ht="15" hidden="false" customHeight="false" outlineLevel="0" collapsed="false">
      <c r="G10" s="0" t="s">
        <v>50</v>
      </c>
      <c r="H10" s="0" t="n">
        <v>30</v>
      </c>
    </row>
    <row r="11" customFormat="false" ht="15" hidden="false" customHeight="false" outlineLevel="0" collapsed="false">
      <c r="G11" s="0" t="s">
        <v>51</v>
      </c>
      <c r="H1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4" min="13" style="0" width="9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9" min="18" style="0" width="11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31" min="23" style="0" width="7"/>
    <col collapsed="false" customWidth="true" hidden="false" outlineLevel="0" max="32" min="32" style="0" width="9"/>
    <col collapsed="false" customWidth="true" hidden="false" outlineLevel="0" max="33" min="33" style="0" width="8"/>
    <col collapsed="false" customWidth="true" hidden="false" outlineLevel="0" max="34" min="34" style="0" width="9"/>
    <col collapsed="false" customWidth="true" hidden="false" outlineLevel="0" max="35" min="35" style="0" width="10"/>
    <col collapsed="false" customWidth="true" hidden="false" outlineLevel="0" max="36" min="36" style="0" width="11"/>
    <col collapsed="false" customWidth="true" hidden="false" outlineLevel="0" max="37" min="37" style="0" width="9"/>
    <col collapsed="false" customWidth="true" hidden="false" outlineLevel="0" max="38" min="38" style="0" width="8"/>
    <col collapsed="false" customWidth="true" hidden="false" outlineLevel="0" max="39" min="39" style="0" width="13"/>
    <col collapsed="false" customWidth="true" hidden="false" outlineLevel="0" max="40" min="40" style="0" width="11"/>
    <col collapsed="false" customWidth="true" hidden="false" outlineLevel="0" max="41" min="41" style="0" width="12"/>
    <col collapsed="false" customWidth="true" hidden="false" outlineLevel="0" max="42" min="42" style="0" width="15"/>
  </cols>
  <sheetData>
    <row r="1" customFormat="false" ht="42" hidden="false" customHeight="true" outlineLevel="0" collapsed="false">
      <c r="A1" s="7" t="s">
        <v>52</v>
      </c>
      <c r="B1" s="7" t="s">
        <v>53</v>
      </c>
      <c r="C1" s="7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  <c r="L1" s="7" t="s">
        <v>63</v>
      </c>
      <c r="M1" s="7" t="s">
        <v>64</v>
      </c>
      <c r="N1" s="7" t="s">
        <v>65</v>
      </c>
      <c r="O1" s="7" t="s">
        <v>66</v>
      </c>
      <c r="P1" s="7" t="s">
        <v>41</v>
      </c>
      <c r="Q1" s="7" t="s">
        <v>67</v>
      </c>
      <c r="R1" s="7" t="s">
        <v>68</v>
      </c>
      <c r="S1" s="7" t="s">
        <v>69</v>
      </c>
      <c r="T1" s="7" t="s">
        <v>70</v>
      </c>
      <c r="U1" s="8" t="s">
        <v>71</v>
      </c>
      <c r="V1" s="8" t="s">
        <v>72</v>
      </c>
      <c r="W1" s="7" t="s">
        <v>52</v>
      </c>
      <c r="X1" s="7" t="s">
        <v>53</v>
      </c>
      <c r="Y1" s="7" t="s">
        <v>54</v>
      </c>
      <c r="Z1" s="7" t="s">
        <v>55</v>
      </c>
      <c r="AA1" s="7" t="s">
        <v>56</v>
      </c>
      <c r="AB1" s="7" t="s">
        <v>57</v>
      </c>
      <c r="AC1" s="7" t="s">
        <v>58</v>
      </c>
      <c r="AD1" s="7" t="s">
        <v>59</v>
      </c>
      <c r="AE1" s="7" t="s">
        <v>60</v>
      </c>
      <c r="AF1" s="7" t="s">
        <v>61</v>
      </c>
      <c r="AG1" s="7" t="s">
        <v>62</v>
      </c>
      <c r="AH1" s="7" t="s">
        <v>63</v>
      </c>
      <c r="AI1" s="7" t="s">
        <v>64</v>
      </c>
      <c r="AJ1" s="7" t="s">
        <v>65</v>
      </c>
      <c r="AK1" s="7" t="s">
        <v>66</v>
      </c>
      <c r="AL1" s="7" t="s">
        <v>41</v>
      </c>
      <c r="AM1" s="7" t="s">
        <v>67</v>
      </c>
      <c r="AN1" s="7" t="s">
        <v>68</v>
      </c>
      <c r="AO1" s="7" t="s">
        <v>69</v>
      </c>
      <c r="AP1" s="7" t="s">
        <v>70</v>
      </c>
    </row>
    <row r="2" customFormat="false" ht="15" hidden="false" customHeight="false" outlineLevel="0" collapsed="false">
      <c r="A2" s="9" t="s">
        <v>73</v>
      </c>
      <c r="B2" s="9" t="s">
        <v>74</v>
      </c>
      <c r="C2" s="9" t="n">
        <v>150000</v>
      </c>
      <c r="D2" s="9" t="n">
        <v>1200000</v>
      </c>
      <c r="E2" s="9" t="n">
        <v>1000000</v>
      </c>
      <c r="F2" s="9" t="n">
        <v>80</v>
      </c>
      <c r="G2" s="9" t="n">
        <v>25</v>
      </c>
      <c r="H2" s="9" t="n">
        <v>0.3</v>
      </c>
      <c r="I2" s="9" t="n">
        <v>1.5</v>
      </c>
      <c r="J2" s="9" t="n">
        <v>1.8</v>
      </c>
      <c r="K2" s="9" t="n">
        <v>22</v>
      </c>
      <c r="L2" s="9" t="n">
        <v>18</v>
      </c>
      <c r="M2" s="9" t="n">
        <v>25</v>
      </c>
      <c r="N2" s="9" t="n">
        <v>15</v>
      </c>
      <c r="O2" s="9" t="n">
        <v>5</v>
      </c>
      <c r="P2" s="9" t="n">
        <v>0.5</v>
      </c>
      <c r="Q2" s="9" t="n">
        <v>70000</v>
      </c>
      <c r="R2" s="9" t="n">
        <v>80000</v>
      </c>
      <c r="S2" s="9" t="n">
        <v>71000</v>
      </c>
      <c r="T2" s="9" t="n">
        <v>60000</v>
      </c>
      <c r="U2" s="9" t="n">
        <v>8</v>
      </c>
      <c r="V2" s="9"/>
      <c r="W2" s="10" t="n">
        <f aca="false">MAX(0,8-ROUNDUP(RANK(D2,$D$2:$D$7,0)/100,0))</f>
        <v>7</v>
      </c>
      <c r="X2" s="11" t="n">
        <f aca="false">MAX(0,8-ROUNDUP(RANK(G2,$G$2:$G$7,1)/100,0))</f>
        <v>7</v>
      </c>
      <c r="Y2" s="10" t="n">
        <f aca="false">MAX(0,8-ROUNDUP(RANK(H2,$H$2:$H$7,1)/100,0))</f>
        <v>7</v>
      </c>
      <c r="Z2" s="11" t="n">
        <f aca="false">MAX(0,8-ROUNDUP(RANK(I2,$I$2:$I$7,1)/100,0))</f>
        <v>7</v>
      </c>
      <c r="AA2" s="10" t="n">
        <f aca="false">MAX(0,8-ROUNDUP(RANK(J2,$J$2:$J$7,1)/100,0))</f>
        <v>7</v>
      </c>
      <c r="AB2" s="11" t="n">
        <f aca="false">MAX(0,8-ROUNDUP(RANK(K2,$K$2:$K$7,0)/100,0))</f>
        <v>7</v>
      </c>
      <c r="AC2" s="10" t="n">
        <f aca="false">MAX(0,8-ROUNDUP(RANK(L2,$L$2:$L$7,0)/100,0))</f>
        <v>7</v>
      </c>
      <c r="AD2" s="11" t="n">
        <f aca="false">MAX(0,8-ROUNDUP(RANK(M2,$M$2:$M$7,0)/100,0))</f>
        <v>7</v>
      </c>
      <c r="AE2" s="10" t="n">
        <f aca="false">MAX(0,8-ROUNDUP(RANK(N2,$N$2:$N$7,0)/100,0))</f>
        <v>7</v>
      </c>
      <c r="AF2" s="12" t="n">
        <f aca="false">W2*0.25+X2*0.15+Y2*0.1+Z2*0.1+AA2*0.05+AB2*0.1+AC2*0.05+AD2*0.1+AE2*0.1</f>
        <v>7</v>
      </c>
      <c r="AG2" s="10" t="n">
        <f aca="false">RANK(AF2,$AF$2:$AF$7,0)</f>
        <v>1</v>
      </c>
      <c r="AH2" s="11" t="n">
        <f aca="false">VLOOKUP(AG2,'Tham số'!$A$2:$B$8,2,TRUE())</f>
        <v>50</v>
      </c>
      <c r="AI2" s="10" t="n">
        <f aca="false">IF(O2&gt;200,-20,IF(O2&gt;100,-10,0))</f>
        <v>0</v>
      </c>
      <c r="AJ2" s="11" t="n">
        <f aca="false">IF(P2&gt;5,-20,IF(P2&gt;=3,-10,0))</f>
        <v>0</v>
      </c>
      <c r="AK2" s="13" t="n">
        <f aca="false">MIN(50,MAX(0,AH2+AI2+AJ2))</f>
        <v>50</v>
      </c>
      <c r="AL2" s="11" t="n">
        <f aca="false">VLOOKUP(D2,'Tham số'!$D$2:$E$7,2,TRUE())</f>
        <v>5</v>
      </c>
      <c r="AM2" s="13" t="str">
        <f aca="false">IF(OR(AND(MIN(D2,E2)&lt;20000,F2&lt;1),C2&lt;100),"Không cho vay",IF(OR(V2="x",U2&gt;50),"Cần theo dõi","Tiêu chuẩn"))</f>
        <v>Tiêu chuẩn</v>
      </c>
      <c r="AN2" s="14" t="n">
        <f aca="false">IF(AM2="Không cho vay",0,MIN(D2,E2)*AK2/100*AL2)</f>
        <v>2500000</v>
      </c>
      <c r="AO2" s="15" t="n">
        <f aca="false">IF(AM2="Tiêu chuẩn",Q2,IF(AM2="Cần theo dõi",MIN(R2,1.2*S2,2*T2),0))</f>
        <v>70000</v>
      </c>
      <c r="AP2" s="14" t="n">
        <f aca="false">AN2*AO2</f>
        <v>175000000000</v>
      </c>
    </row>
    <row r="3" customFormat="false" ht="15" hidden="false" customHeight="false" outlineLevel="0" collapsed="false">
      <c r="A3" s="9" t="s">
        <v>75</v>
      </c>
      <c r="B3" s="9" t="s">
        <v>74</v>
      </c>
      <c r="C3" s="9" t="n">
        <v>160000</v>
      </c>
      <c r="D3" s="9" t="n">
        <v>15000000</v>
      </c>
      <c r="E3" s="9" t="n">
        <v>14000000</v>
      </c>
      <c r="F3" s="9" t="n">
        <v>400</v>
      </c>
      <c r="G3" s="9" t="n">
        <v>30</v>
      </c>
      <c r="H3" s="9" t="n">
        <v>0.9</v>
      </c>
      <c r="I3" s="9" t="n">
        <v>3</v>
      </c>
      <c r="J3" s="9" t="n">
        <v>2.2</v>
      </c>
      <c r="K3" s="9" t="n">
        <v>16</v>
      </c>
      <c r="L3" s="9" t="n">
        <v>12</v>
      </c>
      <c r="M3" s="9" t="n">
        <v>13</v>
      </c>
      <c r="N3" s="9" t="n">
        <v>7</v>
      </c>
      <c r="O3" s="9" t="n">
        <v>12</v>
      </c>
      <c r="P3" s="9" t="n">
        <v>0.6</v>
      </c>
      <c r="Q3" s="9" t="n">
        <v>26000</v>
      </c>
      <c r="R3" s="9" t="n">
        <v>30000</v>
      </c>
      <c r="S3" s="9" t="n">
        <v>27000</v>
      </c>
      <c r="T3" s="9" t="n">
        <v>20000</v>
      </c>
      <c r="U3" s="9" t="n">
        <v>9</v>
      </c>
      <c r="V3" s="9"/>
      <c r="W3" s="10" t="n">
        <f aca="false">MAX(0,8-ROUNDUP(RANK(D3,$D$2:$D$7,0)/100,0))</f>
        <v>7</v>
      </c>
      <c r="X3" s="11" t="n">
        <f aca="false">MAX(0,8-ROUNDUP(RANK(G3,$G$2:$G$7,1)/100,0))</f>
        <v>7</v>
      </c>
      <c r="Y3" s="10" t="n">
        <f aca="false">MAX(0,8-ROUNDUP(RANK(H3,$H$2:$H$7,1)/100,0))</f>
        <v>7</v>
      </c>
      <c r="Z3" s="11" t="n">
        <f aca="false">MAX(0,8-ROUNDUP(RANK(I3,$I$2:$I$7,1)/100,0))</f>
        <v>7</v>
      </c>
      <c r="AA3" s="10" t="n">
        <f aca="false">MAX(0,8-ROUNDUP(RANK(J3,$J$2:$J$7,1)/100,0))</f>
        <v>7</v>
      </c>
      <c r="AB3" s="11" t="n">
        <f aca="false">MAX(0,8-ROUNDUP(RANK(K3,$K$2:$K$7,0)/100,0))</f>
        <v>7</v>
      </c>
      <c r="AC3" s="10" t="n">
        <f aca="false">MAX(0,8-ROUNDUP(RANK(L3,$L$2:$L$7,0)/100,0))</f>
        <v>7</v>
      </c>
      <c r="AD3" s="11" t="n">
        <f aca="false">MAX(0,8-ROUNDUP(RANK(M3,$M$2:$M$7,0)/100,0))</f>
        <v>7</v>
      </c>
      <c r="AE3" s="10" t="n">
        <f aca="false">MAX(0,8-ROUNDUP(RANK(N3,$N$2:$N$7,0)/100,0))</f>
        <v>7</v>
      </c>
      <c r="AF3" s="12" t="n">
        <f aca="false">W3*0.25+X3*0.15+Y3*0.1+Z3*0.1+AA3*0.05+AB3*0.1+AC3*0.05+AD3*0.1+AE3*0.1</f>
        <v>7</v>
      </c>
      <c r="AG3" s="10" t="n">
        <f aca="false">RANK(AF3,$AF$2:$AF$7,0)</f>
        <v>1</v>
      </c>
      <c r="AH3" s="11" t="n">
        <f aca="false">VLOOKUP(AG3,'Tham số'!$A$2:$B$8,2,TRUE())</f>
        <v>50</v>
      </c>
      <c r="AI3" s="10" t="n">
        <f aca="false">IF(O3&gt;200,-20,IF(O3&gt;100,-10,0))</f>
        <v>0</v>
      </c>
      <c r="AJ3" s="11" t="n">
        <f aca="false">IF(P3&gt;5,-20,IF(P3&gt;=3,-10,0))</f>
        <v>0</v>
      </c>
      <c r="AK3" s="13" t="n">
        <f aca="false">MIN(50,MAX(0,AH3+AI3+AJ3))</f>
        <v>50</v>
      </c>
      <c r="AL3" s="11" t="n">
        <f aca="false">VLOOKUP(D3,'Tham số'!$D$2:$E$7,2,TRUE())</f>
        <v>5</v>
      </c>
      <c r="AM3" s="13" t="str">
        <f aca="false">IF(OR(AND(MIN(D3,E3)&lt;20000,F3&lt;1),C3&lt;100),"Không cho vay",IF(OR(V3="x",U3&gt;50),"Cần theo dõi","Tiêu chuẩn"))</f>
        <v>Tiêu chuẩn</v>
      </c>
      <c r="AN3" s="14" t="n">
        <f aca="false">IF(AM3="Không cho vay",0,MIN(D3,E3)*AK3/100*AL3)</f>
        <v>35000000</v>
      </c>
      <c r="AO3" s="15" t="n">
        <f aca="false">IF(AM3="Tiêu chuẩn",Q3,IF(AM3="Cần theo dõi",MIN(R3,1.2*S3,2*T3),0))</f>
        <v>26000</v>
      </c>
      <c r="AP3" s="14" t="n">
        <f aca="false">AN3*AO3</f>
        <v>910000000000</v>
      </c>
    </row>
    <row r="4" customFormat="false" ht="15" hidden="false" customHeight="false" outlineLevel="0" collapsed="false">
      <c r="A4" s="9" t="s">
        <v>76</v>
      </c>
      <c r="B4" s="9" t="s">
        <v>74</v>
      </c>
      <c r="C4" s="9" t="n">
        <v>40000</v>
      </c>
      <c r="D4" s="9" t="n">
        <v>2500000</v>
      </c>
      <c r="E4" s="9" t="n">
        <v>2200000</v>
      </c>
      <c r="F4" s="9" t="n">
        <v>90</v>
      </c>
      <c r="G4" s="9" t="n">
        <v>35</v>
      </c>
      <c r="H4" s="9" t="n">
        <v>0.4</v>
      </c>
      <c r="I4" s="9" t="n">
        <v>1.2</v>
      </c>
      <c r="J4" s="9" t="n">
        <v>1.6</v>
      </c>
      <c r="K4" s="9" t="n">
        <v>28</v>
      </c>
      <c r="L4" s="9" t="n">
        <v>20</v>
      </c>
      <c r="M4" s="9" t="n">
        <v>22</v>
      </c>
      <c r="N4" s="9" t="n">
        <v>14</v>
      </c>
      <c r="O4" s="9" t="n">
        <v>15</v>
      </c>
      <c r="P4" s="9" t="n">
        <v>0.7</v>
      </c>
      <c r="Q4" s="9" t="n">
        <v>95000</v>
      </c>
      <c r="R4" s="9" t="n">
        <v>120000</v>
      </c>
      <c r="S4" s="9" t="n">
        <v>98000</v>
      </c>
      <c r="T4" s="9" t="n">
        <v>70000</v>
      </c>
      <c r="U4" s="9" t="n">
        <v>11</v>
      </c>
      <c r="V4" s="9"/>
      <c r="W4" s="10" t="n">
        <f aca="false">MAX(0,8-ROUNDUP(RANK(D4,$D$2:$D$7,0)/100,0))</f>
        <v>7</v>
      </c>
      <c r="X4" s="11" t="n">
        <f aca="false">MAX(0,8-ROUNDUP(RANK(G4,$G$2:$G$7,1)/100,0))</f>
        <v>7</v>
      </c>
      <c r="Y4" s="10" t="n">
        <f aca="false">MAX(0,8-ROUNDUP(RANK(H4,$H$2:$H$7,1)/100,0))</f>
        <v>7</v>
      </c>
      <c r="Z4" s="11" t="n">
        <f aca="false">MAX(0,8-ROUNDUP(RANK(I4,$I$2:$I$7,1)/100,0))</f>
        <v>7</v>
      </c>
      <c r="AA4" s="10" t="n">
        <f aca="false">MAX(0,8-ROUNDUP(RANK(J4,$J$2:$J$7,1)/100,0))</f>
        <v>7</v>
      </c>
      <c r="AB4" s="11" t="n">
        <f aca="false">MAX(0,8-ROUNDUP(RANK(K4,$K$2:$K$7,0)/100,0))</f>
        <v>7</v>
      </c>
      <c r="AC4" s="10" t="n">
        <f aca="false">MAX(0,8-ROUNDUP(RANK(L4,$L$2:$L$7,0)/100,0))</f>
        <v>7</v>
      </c>
      <c r="AD4" s="11" t="n">
        <f aca="false">MAX(0,8-ROUNDUP(RANK(M4,$M$2:$M$7,0)/100,0))</f>
        <v>7</v>
      </c>
      <c r="AE4" s="10" t="n">
        <f aca="false">MAX(0,8-ROUNDUP(RANK(N4,$N$2:$N$7,0)/100,0))</f>
        <v>7</v>
      </c>
      <c r="AF4" s="12" t="n">
        <f aca="false">W4*0.25+X4*0.15+Y4*0.1+Z4*0.1+AA4*0.05+AB4*0.1+AC4*0.05+AD4*0.1+AE4*0.1</f>
        <v>7</v>
      </c>
      <c r="AG4" s="10" t="n">
        <f aca="false">RANK(AF4,$AF$2:$AF$7,0)</f>
        <v>1</v>
      </c>
      <c r="AH4" s="11" t="n">
        <f aca="false">VLOOKUP(AG4,'Tham số'!$A$2:$B$8,2,TRUE())</f>
        <v>50</v>
      </c>
      <c r="AI4" s="10" t="n">
        <f aca="false">IF(O4&gt;200,-20,IF(O4&gt;100,-10,0))</f>
        <v>0</v>
      </c>
      <c r="AJ4" s="11" t="n">
        <f aca="false">IF(P4&gt;5,-20,IF(P4&gt;=3,-10,0))</f>
        <v>0</v>
      </c>
      <c r="AK4" s="13" t="n">
        <f aca="false">MIN(50,MAX(0,AH4+AI4+AJ4))</f>
        <v>50</v>
      </c>
      <c r="AL4" s="11" t="n">
        <f aca="false">VLOOKUP(D4,'Tham số'!$D$2:$E$7,2,TRUE())</f>
        <v>5</v>
      </c>
      <c r="AM4" s="13" t="str">
        <f aca="false">IF(OR(AND(MIN(D4,E4)&lt;20000,F4&lt;1),C4&lt;100),"Không cho vay",IF(OR(V4="x",U4&gt;50),"Cần theo dõi","Tiêu chuẩn"))</f>
        <v>Tiêu chuẩn</v>
      </c>
      <c r="AN4" s="14" t="n">
        <f aca="false">IF(AM4="Không cho vay",0,MIN(D4,E4)*AK4/100*AL4)</f>
        <v>5500000</v>
      </c>
      <c r="AO4" s="15" t="n">
        <f aca="false">IF(AM4="Tiêu chuẩn",Q4,IF(AM4="Cần theo dõi",MIN(R4,1.2*S4,2*T4),0))</f>
        <v>95000</v>
      </c>
      <c r="AP4" s="14" t="n">
        <f aca="false">AN4*AO4</f>
        <v>522500000000</v>
      </c>
    </row>
    <row r="5" customFormat="false" ht="15" hidden="false" customHeight="false" outlineLevel="0" collapsed="false">
      <c r="A5" s="9" t="s">
        <v>77</v>
      </c>
      <c r="B5" s="9" t="s">
        <v>74</v>
      </c>
      <c r="C5" s="9" t="n">
        <v>1200</v>
      </c>
      <c r="D5" s="9" t="n">
        <v>300000</v>
      </c>
      <c r="E5" s="9" t="n">
        <v>250000</v>
      </c>
      <c r="F5" s="9" t="n">
        <v>8</v>
      </c>
      <c r="G5" s="9" t="n">
        <v>40</v>
      </c>
      <c r="H5" s="9" t="n">
        <v>1.5</v>
      </c>
      <c r="I5" s="9" t="n">
        <v>5</v>
      </c>
      <c r="J5" s="9" t="n">
        <v>3</v>
      </c>
      <c r="K5" s="9" t="n">
        <v>10</v>
      </c>
      <c r="L5" s="9" t="n">
        <v>8</v>
      </c>
      <c r="M5" s="9" t="n">
        <v>12</v>
      </c>
      <c r="N5" s="9" t="n">
        <v>5</v>
      </c>
      <c r="O5" s="9" t="n">
        <v>120</v>
      </c>
      <c r="P5" s="9" t="n">
        <v>4</v>
      </c>
      <c r="Q5" s="9" t="n">
        <v>18000</v>
      </c>
      <c r="R5" s="9" t="n">
        <v>25000</v>
      </c>
      <c r="S5" s="9" t="n">
        <v>19000</v>
      </c>
      <c r="T5" s="9" t="n">
        <v>12000</v>
      </c>
      <c r="U5" s="9" t="n">
        <v>12</v>
      </c>
      <c r="V5" s="9"/>
      <c r="W5" s="10" t="n">
        <f aca="false">MAX(0,8-ROUNDUP(RANK(D5,$D$2:$D$7,0)/100,0))</f>
        <v>7</v>
      </c>
      <c r="X5" s="11" t="n">
        <f aca="false">MAX(0,8-ROUNDUP(RANK(G5,$G$2:$G$7,1)/100,0))</f>
        <v>7</v>
      </c>
      <c r="Y5" s="10" t="n">
        <f aca="false">MAX(0,8-ROUNDUP(RANK(H5,$H$2:$H$7,1)/100,0))</f>
        <v>7</v>
      </c>
      <c r="Z5" s="11" t="n">
        <f aca="false">MAX(0,8-ROUNDUP(RANK(I5,$I$2:$I$7,1)/100,0))</f>
        <v>7</v>
      </c>
      <c r="AA5" s="10" t="n">
        <f aca="false">MAX(0,8-ROUNDUP(RANK(J5,$J$2:$J$7,1)/100,0))</f>
        <v>7</v>
      </c>
      <c r="AB5" s="11" t="n">
        <f aca="false">MAX(0,8-ROUNDUP(RANK(K5,$K$2:$K$7,0)/100,0))</f>
        <v>7</v>
      </c>
      <c r="AC5" s="10" t="n">
        <f aca="false">MAX(0,8-ROUNDUP(RANK(L5,$L$2:$L$7,0)/100,0))</f>
        <v>7</v>
      </c>
      <c r="AD5" s="11" t="n">
        <f aca="false">MAX(0,8-ROUNDUP(RANK(M5,$M$2:$M$7,0)/100,0))</f>
        <v>7</v>
      </c>
      <c r="AE5" s="10" t="n">
        <f aca="false">MAX(0,8-ROUNDUP(RANK(N5,$N$2:$N$7,0)/100,0))</f>
        <v>7</v>
      </c>
      <c r="AF5" s="12" t="n">
        <f aca="false">W5*0.25+X5*0.15+Y5*0.1+Z5*0.1+AA5*0.05+AB5*0.1+AC5*0.05+AD5*0.1+AE5*0.1</f>
        <v>7</v>
      </c>
      <c r="AG5" s="10" t="n">
        <f aca="false">RANK(AF5,$AF$2:$AF$7,0)</f>
        <v>1</v>
      </c>
      <c r="AH5" s="11" t="n">
        <f aca="false">VLOOKUP(AG5,'Tham số'!$A$2:$B$8,2,TRUE())</f>
        <v>50</v>
      </c>
      <c r="AI5" s="10" t="n">
        <f aca="false">IF(O5&gt;200,-20,IF(O5&gt;100,-10,0))</f>
        <v>-10</v>
      </c>
      <c r="AJ5" s="11" t="n">
        <f aca="false">IF(P5&gt;5,-20,IF(P5&gt;=3,-10,0))</f>
        <v>-10</v>
      </c>
      <c r="AK5" s="13" t="n">
        <f aca="false">MIN(50,MAX(0,AH5+AI5+AJ5))</f>
        <v>30</v>
      </c>
      <c r="AL5" s="11" t="n">
        <f aca="false">VLOOKUP(D5,'Tham số'!$D$2:$E$7,2,TRUE())</f>
        <v>4</v>
      </c>
      <c r="AM5" s="13" t="str">
        <f aca="false">IF(OR(AND(MIN(D5,E5)&lt;20000,F5&lt;1),C5&lt;100),"Không cho vay",IF(OR(V5="x",U5&gt;50),"Cần theo dõi","Tiêu chuẩn"))</f>
        <v>Tiêu chuẩn</v>
      </c>
      <c r="AN5" s="14" t="n">
        <f aca="false">IF(AM5="Không cho vay",0,MIN(D5,E5)*AK5/100*AL5)</f>
        <v>300000</v>
      </c>
      <c r="AO5" s="15" t="n">
        <f aca="false">IF(AM5="Tiêu chuẩn",Q5,IF(AM5="Cần theo dõi",MIN(R5,1.2*S5,2*T5),0))</f>
        <v>18000</v>
      </c>
      <c r="AP5" s="14" t="n">
        <f aca="false">AN5*AO5</f>
        <v>5400000000</v>
      </c>
    </row>
    <row r="6" customFormat="false" ht="15" hidden="false" customHeight="false" outlineLevel="0" collapsed="false">
      <c r="A6" s="9" t="s">
        <v>78</v>
      </c>
      <c r="B6" s="9" t="s">
        <v>79</v>
      </c>
      <c r="C6" s="9" t="n">
        <v>500</v>
      </c>
      <c r="D6" s="9" t="n">
        <v>120000</v>
      </c>
      <c r="E6" s="9" t="n">
        <v>90000</v>
      </c>
      <c r="F6" s="9" t="n">
        <v>3</v>
      </c>
      <c r="G6" s="9" t="n">
        <v>55</v>
      </c>
      <c r="H6" s="9" t="n">
        <v>1.8</v>
      </c>
      <c r="I6" s="9" t="n">
        <v>6.5</v>
      </c>
      <c r="J6" s="9" t="n">
        <v>3.5</v>
      </c>
      <c r="K6" s="9" t="n">
        <v>7</v>
      </c>
      <c r="L6" s="9" t="n">
        <v>5</v>
      </c>
      <c r="M6" s="9" t="n">
        <v>9</v>
      </c>
      <c r="N6" s="9" t="n">
        <v>4</v>
      </c>
      <c r="O6" s="9" t="n">
        <v>60</v>
      </c>
      <c r="P6" s="9" t="n">
        <v>2</v>
      </c>
      <c r="Q6" s="9" t="n">
        <v>12000</v>
      </c>
      <c r="R6" s="9" t="n">
        <v>20000</v>
      </c>
      <c r="S6" s="9" t="n">
        <v>13000</v>
      </c>
      <c r="T6" s="9" t="n">
        <v>8000</v>
      </c>
      <c r="U6" s="9" t="n">
        <v>60</v>
      </c>
      <c r="V6" s="9" t="s">
        <v>80</v>
      </c>
      <c r="W6" s="10" t="n">
        <f aca="false">MAX(0,8-ROUNDUP(RANK(D6,$D$2:$D$7,0)/100,0))</f>
        <v>7</v>
      </c>
      <c r="X6" s="11" t="n">
        <f aca="false">MAX(0,8-ROUNDUP(RANK(G6,$G$2:$G$7,1)/100,0))</f>
        <v>7</v>
      </c>
      <c r="Y6" s="10" t="n">
        <f aca="false">MAX(0,8-ROUNDUP(RANK(H6,$H$2:$H$7,1)/100,0))</f>
        <v>7</v>
      </c>
      <c r="Z6" s="11" t="n">
        <f aca="false">MAX(0,8-ROUNDUP(RANK(I6,$I$2:$I$7,1)/100,0))</f>
        <v>7</v>
      </c>
      <c r="AA6" s="10" t="n">
        <f aca="false">MAX(0,8-ROUNDUP(RANK(J6,$J$2:$J$7,1)/100,0))</f>
        <v>7</v>
      </c>
      <c r="AB6" s="11" t="n">
        <f aca="false">MAX(0,8-ROUNDUP(RANK(K6,$K$2:$K$7,0)/100,0))</f>
        <v>7</v>
      </c>
      <c r="AC6" s="10" t="n">
        <f aca="false">MAX(0,8-ROUNDUP(RANK(L6,$L$2:$L$7,0)/100,0))</f>
        <v>7</v>
      </c>
      <c r="AD6" s="11" t="n">
        <f aca="false">MAX(0,8-ROUNDUP(RANK(M6,$M$2:$M$7,0)/100,0))</f>
        <v>7</v>
      </c>
      <c r="AE6" s="10" t="n">
        <f aca="false">MAX(0,8-ROUNDUP(RANK(N6,$N$2:$N$7,0)/100,0))</f>
        <v>7</v>
      </c>
      <c r="AF6" s="12" t="n">
        <f aca="false">W6*0.25+X6*0.15+Y6*0.1+Z6*0.1+AA6*0.05+AB6*0.1+AC6*0.05+AD6*0.1+AE6*0.1</f>
        <v>7</v>
      </c>
      <c r="AG6" s="10" t="n">
        <f aca="false">RANK(AF6,$AF$2:$AF$7,0)</f>
        <v>1</v>
      </c>
      <c r="AH6" s="11" t="n">
        <f aca="false">VLOOKUP(AG6,'Tham số'!$A$2:$B$8,2,TRUE())</f>
        <v>50</v>
      </c>
      <c r="AI6" s="10" t="n">
        <f aca="false">IF(O6&gt;200,-20,IF(O6&gt;100,-10,0))</f>
        <v>0</v>
      </c>
      <c r="AJ6" s="11" t="n">
        <f aca="false">IF(P6&gt;5,-20,IF(P6&gt;=3,-10,0))</f>
        <v>0</v>
      </c>
      <c r="AK6" s="13" t="n">
        <f aca="false">MIN(50,MAX(0,AH6+AI6+AJ6))</f>
        <v>50</v>
      </c>
      <c r="AL6" s="11" t="n">
        <f aca="false">VLOOKUP(D6,'Tham số'!$D$2:$E$7,2,TRUE())</f>
        <v>2</v>
      </c>
      <c r="AM6" s="13" t="str">
        <f aca="false">IF(OR(AND(MIN(D6,E6)&lt;20000,F6&lt;1),C6&lt;100),"Không cho vay",IF(OR(V6="x",U6&gt;50),"Cần theo dõi","Tiêu chuẩn"))</f>
        <v>Cần theo dõi</v>
      </c>
      <c r="AN6" s="14" t="n">
        <f aca="false">IF(AM6="Không cho vay",0,MIN(D6,E6)*AK6/100*AL6)</f>
        <v>90000</v>
      </c>
      <c r="AO6" s="15" t="n">
        <f aca="false">IF(AM6="Tiêu chuẩn",Q6,IF(AM6="Cần theo dõi",MIN(R6,1.2*S6,2*T6),0))</f>
        <v>15600</v>
      </c>
      <c r="AP6" s="14" t="n">
        <f aca="false">AN6*AO6</f>
        <v>1404000000</v>
      </c>
    </row>
    <row r="7" customFormat="false" ht="15" hidden="false" customHeight="false" outlineLevel="0" collapsed="false">
      <c r="A7" s="9" t="s">
        <v>81</v>
      </c>
      <c r="B7" s="9" t="s">
        <v>82</v>
      </c>
      <c r="C7" s="9" t="n">
        <v>80</v>
      </c>
      <c r="D7" s="9" t="n">
        <v>18000</v>
      </c>
      <c r="E7" s="9" t="n">
        <v>15000</v>
      </c>
      <c r="F7" s="9" t="n">
        <v>0.5</v>
      </c>
      <c r="G7" s="9" t="n">
        <v>70</v>
      </c>
      <c r="H7" s="9" t="n">
        <v>2.5</v>
      </c>
      <c r="I7" s="9" t="n">
        <v>9</v>
      </c>
      <c r="J7" s="9" t="n">
        <v>4</v>
      </c>
      <c r="K7" s="9" t="n">
        <v>4</v>
      </c>
      <c r="L7" s="9" t="n">
        <v>2</v>
      </c>
      <c r="M7" s="9" t="n">
        <v>5</v>
      </c>
      <c r="N7" s="9" t="n">
        <v>2</v>
      </c>
      <c r="O7" s="9" t="n">
        <v>10</v>
      </c>
      <c r="P7" s="9" t="n">
        <v>0.5</v>
      </c>
      <c r="Q7" s="9" t="n">
        <v>9000</v>
      </c>
      <c r="R7" s="9" t="n">
        <v>14000</v>
      </c>
      <c r="S7" s="9" t="n">
        <v>9500</v>
      </c>
      <c r="T7" s="9" t="n">
        <v>6000</v>
      </c>
      <c r="U7" s="9" t="n">
        <v>5</v>
      </c>
      <c r="V7" s="9"/>
      <c r="W7" s="10" t="n">
        <f aca="false">MAX(0,8-ROUNDUP(RANK(D7,$D$2:$D$7,0)/100,0))</f>
        <v>7</v>
      </c>
      <c r="X7" s="11" t="n">
        <f aca="false">MAX(0,8-ROUNDUP(RANK(G7,$G$2:$G$7,1)/100,0))</f>
        <v>7</v>
      </c>
      <c r="Y7" s="10" t="n">
        <f aca="false">MAX(0,8-ROUNDUP(RANK(H7,$H$2:$H$7,1)/100,0))</f>
        <v>7</v>
      </c>
      <c r="Z7" s="11" t="n">
        <f aca="false">MAX(0,8-ROUNDUP(RANK(I7,$I$2:$I$7,1)/100,0))</f>
        <v>7</v>
      </c>
      <c r="AA7" s="10" t="n">
        <f aca="false">MAX(0,8-ROUNDUP(RANK(J7,$J$2:$J$7,1)/100,0))</f>
        <v>7</v>
      </c>
      <c r="AB7" s="11" t="n">
        <f aca="false">MAX(0,8-ROUNDUP(RANK(K7,$K$2:$K$7,0)/100,0))</f>
        <v>7</v>
      </c>
      <c r="AC7" s="10" t="n">
        <f aca="false">MAX(0,8-ROUNDUP(RANK(L7,$L$2:$L$7,0)/100,0))</f>
        <v>7</v>
      </c>
      <c r="AD7" s="11" t="n">
        <f aca="false">MAX(0,8-ROUNDUP(RANK(M7,$M$2:$M$7,0)/100,0))</f>
        <v>7</v>
      </c>
      <c r="AE7" s="10" t="n">
        <f aca="false">MAX(0,8-ROUNDUP(RANK(N7,$N$2:$N$7,0)/100,0))</f>
        <v>7</v>
      </c>
      <c r="AF7" s="12" t="n">
        <f aca="false">W7*0.25+X7*0.15+Y7*0.1+Z7*0.1+AA7*0.05+AB7*0.1+AC7*0.05+AD7*0.1+AE7*0.1</f>
        <v>7</v>
      </c>
      <c r="AG7" s="10" t="n">
        <f aca="false">RANK(AF7,$AF$2:$AF$7,0)</f>
        <v>1</v>
      </c>
      <c r="AH7" s="11" t="n">
        <f aca="false">VLOOKUP(AG7,'Tham số'!$A$2:$B$8,2,TRUE())</f>
        <v>50</v>
      </c>
      <c r="AI7" s="10" t="n">
        <f aca="false">IF(O7&gt;200,-20,IF(O7&gt;100,-10,0))</f>
        <v>0</v>
      </c>
      <c r="AJ7" s="11" t="n">
        <f aca="false">IF(P7&gt;5,-20,IF(P7&gt;=3,-10,0))</f>
        <v>0</v>
      </c>
      <c r="AK7" s="13" t="n">
        <f aca="false">MIN(50,MAX(0,AH7+AI7+AJ7))</f>
        <v>50</v>
      </c>
      <c r="AL7" s="11" t="n">
        <f aca="false">VLOOKUP(D7,'Tham số'!$D$2:$E$7,2,TRUE())</f>
        <v>0</v>
      </c>
      <c r="AM7" s="13" t="str">
        <f aca="false">IF(OR(AND(MIN(D7,E7)&lt;20000,F7&lt;1),C7&lt;100),"Không cho vay",IF(OR(V7="x",U7&gt;50),"Cần theo dõi","Tiêu chuẩn"))</f>
        <v>Không cho vay</v>
      </c>
      <c r="AN7" s="14" t="n">
        <f aca="false">IF(AM7="Không cho vay",0,MIN(D7,E7)*AK7/100*AL7)</f>
        <v>0</v>
      </c>
      <c r="AO7" s="15" t="n">
        <f aca="false">IF(AM7="Tiêu chuẩn",Q7,IF(AM7="Cần theo dõi",MIN(R7,1.2*S7,2*T7),0))</f>
        <v>0</v>
      </c>
      <c r="AP7" s="14" t="n">
        <f aca="false">AN7*AO7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8" min="7" style="0" width="9"/>
    <col collapsed="false" customWidth="true" hidden="false" outlineLevel="0" max="9" min="9" style="0" width="13"/>
    <col collapsed="false" customWidth="true" hidden="false" outlineLevel="0" max="10" min="10" style="0" width="17"/>
  </cols>
  <sheetData>
    <row r="1" customFormat="false" ht="30" hidden="false" customHeight="true" outlineLevel="0" collapsed="false">
      <c r="A1" s="16" t="s">
        <v>83</v>
      </c>
      <c r="B1" s="16" t="s">
        <v>84</v>
      </c>
      <c r="C1" s="16" t="s">
        <v>85</v>
      </c>
      <c r="D1" s="16" t="s">
        <v>86</v>
      </c>
      <c r="E1" s="16" t="s">
        <v>87</v>
      </c>
      <c r="F1" s="16" t="s">
        <v>88</v>
      </c>
      <c r="G1" s="16" t="s">
        <v>39</v>
      </c>
      <c r="H1" s="16" t="s">
        <v>41</v>
      </c>
      <c r="I1" s="16" t="s">
        <v>68</v>
      </c>
      <c r="J1" s="16" t="s">
        <v>70</v>
      </c>
    </row>
    <row r="2" customFormat="false" ht="15" hidden="false" customHeight="false" outlineLevel="0" collapsed="false">
      <c r="A2" s="9" t="s">
        <v>89</v>
      </c>
      <c r="B2" s="9" t="s">
        <v>90</v>
      </c>
      <c r="C2" s="9" t="n">
        <v>520000</v>
      </c>
      <c r="D2" s="9" t="n">
        <v>6000000</v>
      </c>
      <c r="E2" s="9" t="n">
        <v>5500000</v>
      </c>
      <c r="F2" s="9" t="n">
        <v>90000</v>
      </c>
      <c r="G2" s="13" t="n">
        <f aca="false">IF(B2="NH",IF(C2&gt;200000,50,40),IF(B2="CK",IF(C2&lt;=10,50,IF(C2&lt;=20,40,IF(C2&lt;=30,30,0))),IF(B2="BH",IF(C2&gt;1000000,50,IF(C2&gt;=500000,40,IF(C2&gt;=200000,30,0))),0)))</f>
        <v>50</v>
      </c>
      <c r="H2" s="10" t="n">
        <f aca="false">VLOOKUP(D2,'Tham số'!$D$2:$E$7,2,TRUE())</f>
        <v>5</v>
      </c>
      <c r="I2" s="15" t="n">
        <f aca="false">MIN(D2,E2)*G2/100*H2</f>
        <v>13750000</v>
      </c>
      <c r="J2" s="17" t="n">
        <f aca="false">I2*F2</f>
        <v>1237500000000</v>
      </c>
    </row>
    <row r="3" customFormat="false" ht="15" hidden="false" customHeight="false" outlineLevel="0" collapsed="false">
      <c r="A3" s="9" t="s">
        <v>91</v>
      </c>
      <c r="B3" s="9" t="s">
        <v>90</v>
      </c>
      <c r="C3" s="9" t="n">
        <v>150000</v>
      </c>
      <c r="D3" s="9" t="n">
        <v>9000000</v>
      </c>
      <c r="E3" s="9" t="n">
        <v>8000000</v>
      </c>
      <c r="F3" s="9" t="n">
        <v>25000</v>
      </c>
      <c r="G3" s="13" t="n">
        <f aca="false">IF(B3="NH",IF(C3&gt;200000,50,40),IF(B3="CK",IF(C3&lt;=10,50,IF(C3&lt;=20,40,IF(C3&lt;=30,30,0))),IF(B3="BH",IF(C3&gt;1000000,50,IF(C3&gt;=500000,40,IF(C3&gt;=200000,30,0))),0)))</f>
        <v>40</v>
      </c>
      <c r="H3" s="10" t="n">
        <f aca="false">VLOOKUP(D3,'Tham số'!$D$2:$E$7,2,TRUE())</f>
        <v>5</v>
      </c>
      <c r="I3" s="15" t="n">
        <f aca="false">MIN(D3,E3)*G3/100*H3</f>
        <v>16000000</v>
      </c>
      <c r="J3" s="17" t="n">
        <f aca="false">I3*F3</f>
        <v>400000000000</v>
      </c>
    </row>
    <row r="4" customFormat="false" ht="15" hidden="false" customHeight="false" outlineLevel="0" collapsed="false">
      <c r="A4" s="9" t="s">
        <v>92</v>
      </c>
      <c r="B4" s="9" t="s">
        <v>93</v>
      </c>
      <c r="C4" s="9" t="n">
        <v>8</v>
      </c>
      <c r="D4" s="9" t="n">
        <v>8000000</v>
      </c>
      <c r="E4" s="9" t="n">
        <v>7000000</v>
      </c>
      <c r="F4" s="9" t="n">
        <v>30000</v>
      </c>
      <c r="G4" s="13" t="n">
        <f aca="false">IF(B4="NH",IF(C4&gt;200000,50,40),IF(B4="CK",IF(C4&lt;=10,50,IF(C4&lt;=20,40,IF(C4&lt;=30,30,0))),IF(B4="BH",IF(C4&gt;1000000,50,IF(C4&gt;=500000,40,IF(C4&gt;=200000,30,0))),0)))</f>
        <v>50</v>
      </c>
      <c r="H4" s="10" t="n">
        <f aca="false">VLOOKUP(D4,'Tham số'!$D$2:$E$7,2,TRUE())</f>
        <v>5</v>
      </c>
      <c r="I4" s="15" t="n">
        <f aca="false">MIN(D4,E4)*G4/100*H4</f>
        <v>17500000</v>
      </c>
      <c r="J4" s="17" t="n">
        <f aca="false">I4*F4</f>
        <v>525000000000</v>
      </c>
    </row>
    <row r="5" customFormat="false" ht="15" hidden="false" customHeight="false" outlineLevel="0" collapsed="false">
      <c r="A5" s="9" t="s">
        <v>94</v>
      </c>
      <c r="B5" s="9" t="s">
        <v>93</v>
      </c>
      <c r="C5" s="9" t="n">
        <v>15</v>
      </c>
      <c r="D5" s="9" t="n">
        <v>12000000</v>
      </c>
      <c r="E5" s="9" t="n">
        <v>10000000</v>
      </c>
      <c r="F5" s="9" t="n">
        <v>18000</v>
      </c>
      <c r="G5" s="13" t="n">
        <f aca="false">IF(B5="NH",IF(C5&gt;200000,50,40),IF(B5="CK",IF(C5&lt;=10,50,IF(C5&lt;=20,40,IF(C5&lt;=30,30,0))),IF(B5="BH",IF(C5&gt;1000000,50,IF(C5&gt;=500000,40,IF(C5&gt;=200000,30,0))),0)))</f>
        <v>40</v>
      </c>
      <c r="H5" s="10" t="n">
        <f aca="false">VLOOKUP(D5,'Tham số'!$D$2:$E$7,2,TRUE())</f>
        <v>5</v>
      </c>
      <c r="I5" s="15" t="n">
        <f aca="false">MIN(D5,E5)*G5/100*H5</f>
        <v>20000000</v>
      </c>
      <c r="J5" s="17" t="n">
        <f aca="false">I5*F5</f>
        <v>360000000000</v>
      </c>
    </row>
    <row r="6" customFormat="false" ht="15" hidden="false" customHeight="false" outlineLevel="0" collapsed="false">
      <c r="A6" s="9" t="s">
        <v>95</v>
      </c>
      <c r="B6" s="9" t="s">
        <v>96</v>
      </c>
      <c r="C6" s="9" t="n">
        <v>1200000</v>
      </c>
      <c r="D6" s="9" t="n">
        <v>2000000</v>
      </c>
      <c r="E6" s="9" t="n">
        <v>1800000</v>
      </c>
      <c r="F6" s="9" t="n">
        <v>45000</v>
      </c>
      <c r="G6" s="13" t="n">
        <f aca="false">IF(B6="NH",IF(C6&gt;200000,50,40),IF(B6="CK",IF(C6&lt;=10,50,IF(C6&lt;=20,40,IF(C6&lt;=30,30,0))),IF(B6="BH",IF(C6&gt;1000000,50,IF(C6&gt;=500000,40,IF(C6&gt;=200000,30,0))),0)))</f>
        <v>50</v>
      </c>
      <c r="H6" s="10" t="n">
        <f aca="false">VLOOKUP(D6,'Tham số'!$D$2:$E$7,2,TRUE())</f>
        <v>5</v>
      </c>
      <c r="I6" s="15" t="n">
        <f aca="false">MIN(D6,E6)*G6/100*H6</f>
        <v>4500000</v>
      </c>
      <c r="J6" s="17" t="n">
        <f aca="false">I6*F6</f>
        <v>202500000000</v>
      </c>
    </row>
    <row r="7" customFormat="false" ht="15" hidden="false" customHeight="false" outlineLevel="0" collapsed="false">
      <c r="A7" s="9" t="s">
        <v>97</v>
      </c>
      <c r="B7" s="9" t="s">
        <v>96</v>
      </c>
      <c r="C7" s="9" t="n">
        <v>300000</v>
      </c>
      <c r="D7" s="9" t="n">
        <v>400000</v>
      </c>
      <c r="E7" s="9" t="n">
        <v>350000</v>
      </c>
      <c r="F7" s="9" t="n">
        <v>30000</v>
      </c>
      <c r="G7" s="13" t="n">
        <f aca="false">IF(B7="NH",IF(C7&gt;200000,50,40),IF(B7="CK",IF(C7&lt;=10,50,IF(C7&lt;=20,40,IF(C7&lt;=30,30,0))),IF(B7="BH",IF(C7&gt;1000000,50,IF(C7&gt;=500000,40,IF(C7&gt;=200000,30,0))),0)))</f>
        <v>30</v>
      </c>
      <c r="H7" s="10" t="n">
        <f aca="false">VLOOKUP(D7,'Tham số'!$D$2:$E$7,2,TRUE())</f>
        <v>4</v>
      </c>
      <c r="I7" s="15" t="n">
        <f aca="false">MIN(D7,E7)*G7/100*H7</f>
        <v>420000</v>
      </c>
      <c r="J7" s="17" t="n">
        <f aca="false">I7*F7</f>
        <v>12600000000</v>
      </c>
    </row>
    <row r="9" customFormat="false" ht="15" hidden="false" customHeight="false" outlineLevel="0" collapsed="false">
      <c r="A9" s="18" t="s">
        <v>98</v>
      </c>
      <c r="B9" s="18"/>
      <c r="C9" s="18"/>
      <c r="D9" s="18"/>
      <c r="E9" s="18"/>
      <c r="F9" s="18"/>
      <c r="G9" s="18"/>
      <c r="H9" s="18"/>
      <c r="I9" s="18"/>
      <c r="J9" s="18"/>
    </row>
  </sheetData>
  <mergeCells count="1">
    <mergeCell ref="A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2026-07-01T01:34:50Z</dcterms:created>
  <dc:creator>openpyxl</dc:creator>
  <dc:description/>
  <dc:language>en-US</dc:language>
  <cp:lastModifiedBy/>
  <dcterms:modified xsi:type="dcterms:W3CDTF">2026-07-01T01:34:50Z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