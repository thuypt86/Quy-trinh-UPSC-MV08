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 gia theo ma" sheetId="1" state="visible" r:id="rId3"/>
    <sheet name="So sanh LTV CTC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<sst xmlns="http://schemas.openxmlformats.org/spreadsheetml/2006/main" count="25" uniqueCount="22">
  <si>
    <t xml:space="preserve">BM-08 · ĐÁNH GIÁ TÁC ĐỘNG ĐẾN KHÁCH HÀNG</t>
  </si>
  <si>
    <t xml:space="preserve">MV-08 · Tổng quan top 15–20 mã dư nợ lớn nhất có thay đổi LTV → số KH/dư nợ ảnh hưởng &amp; nguy cơ call/force. Ô vàng = nhập tay.</t>
  </si>
  <si>
    <t xml:space="preserve">Mã CK</t>
  </si>
  <si>
    <t xml:space="preserve">Dư nợ (đồng)</t>
  </si>
  <si>
    <t xml:space="preserve">LTV cũ %</t>
  </si>
  <si>
    <t xml:space="preserve">LTV mới %</t>
  </si>
  <si>
    <t xml:space="preserve">Δ LTV</t>
  </si>
  <si>
    <t xml:space="preserve">Sức mua 3 bên (đồng)</t>
  </si>
  <si>
    <t xml:space="preserve">Số KH ảnh hưởng</t>
  </si>
  <si>
    <t xml:space="preserve">Nguy cơ Call/Force (đồng)</t>
  </si>
  <si>
    <t xml:space="preserve">Mã A</t>
  </si>
  <si>
    <t xml:space="preserve">Mã B</t>
  </si>
  <si>
    <t xml:space="preserve">ℹ Δ LTV = LTV mới − LTV cũ. Nguy cơ Call/Force = max(0, Dư nợ − Sức mua mới) → thiếu hụt theo mã.</t>
  </si>
  <si>
    <t xml:space="preserve">So sánh LTV với các công ty chứng khoán cụ thể</t>
  </si>
  <si>
    <t xml:space="preserve">UPSC</t>
  </si>
  <si>
    <t xml:space="preserve">SSI</t>
  </si>
  <si>
    <t xml:space="preserve">HSC</t>
  </si>
  <si>
    <t xml:space="preserve">VNDIRECT</t>
  </si>
  <si>
    <t xml:space="preserve">VCSC</t>
  </si>
  <si>
    <t xml:space="preserve">MBS</t>
  </si>
  <si>
    <t xml:space="preserve">Nhận xét</t>
  </si>
  <si>
    <t xml:space="preserve">ℹ Điền LTV từng công ty để đối chiếu mặt bằng thị trường.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</si>
</sst>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5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5E8F0"/>
        <bgColor rgb="FFCCFFFF"/>
      </patternFill>
    </fill>
    <fill>
      <patternFill patternType="solid">
        <fgColor rgb="FFFFF7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D0"/>
      <rgbColor rgb="FF808080"/>
      <rgbColor rgb="FF9999FF"/>
      <rgbColor rgb="FF993366"/>
      <rgbColor rgb="FFFFF7D6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v>150000000000</v>
      </c>
      <c r="C5" s="6" t="n">
        <v>0.5</v>
      </c>
      <c r="D5" s="6" t="n">
        <v>0.4</v>
      </c>
      <c r="E5" s="7" t="n">
        <f aca="false">D5-C5</f>
        <v>-0.1</v>
      </c>
      <c r="F5" s="5" t="n">
        <v>120000000000</v>
      </c>
      <c r="G5" s="8"/>
      <c r="H5" s="9" t="n">
        <f aca="false">MAX(0,B5-F5)</f>
        <v>30000000000</v>
      </c>
    </row>
    <row r="6" customFormat="false" ht="15" hidden="false" customHeight="false" outlineLevel="0" collapsed="false">
      <c r="A6" s="4" t="s">
        <v>11</v>
      </c>
      <c r="B6" s="5" t="n">
        <v>90000000000</v>
      </c>
      <c r="C6" s="6" t="n">
        <v>0.45</v>
      </c>
      <c r="D6" s="6" t="n">
        <v>0.45</v>
      </c>
      <c r="E6" s="7" t="n">
        <f aca="false">D6-C6</f>
        <v>0</v>
      </c>
      <c r="F6" s="5" t="n">
        <v>80000000000</v>
      </c>
      <c r="G6" s="8"/>
      <c r="H6" s="9" t="n">
        <f aca="false">MAX(0,B6-F6)</f>
        <v>10000000000</v>
      </c>
    </row>
    <row r="8" customFormat="false" ht="15" hidden="false" customHeight="false" outlineLevel="0" collapsed="false">
      <c r="A8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0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24"/>
  </cols>
  <sheetData>
    <row r="1" customFormat="false" ht="17.35" hidden="false" customHeight="false" outlineLevel="0" collapsed="false">
      <c r="A1" s="1" t="s">
        <v>13</v>
      </c>
    </row>
    <row r="3" customFormat="false" ht="15" hidden="false" customHeight="false" outlineLevel="0" collapsed="false">
      <c r="A3" s="3" t="s">
        <v>2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</row>
    <row r="4" customFormat="false" ht="15" hidden="false" customHeight="false" outlineLevel="0" collapsed="false">
      <c r="A4" s="4" t="s">
        <v>10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0" collapsed="false">
      <c r="A5" s="4" t="s">
        <v>11</v>
      </c>
      <c r="B5" s="8"/>
      <c r="C5" s="8"/>
      <c r="D5" s="8"/>
      <c r="E5" s="8"/>
      <c r="F5" s="8"/>
      <c r="G5" s="8"/>
      <c r="H5" s="8"/>
    </row>
    <row r="7" customFormat="false" ht="15" hidden="false" customHeight="false" outlineLevel="0" collapsed="false">
      <c r="A7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2026-07-16T13:30:04Z</dcterms:created>
  <dc:creator>openpyxl</dc:creator>
  <dc:description/>
  <dc:language>en-US</dc:language>
  <cp:lastModifiedBy/>
  <dcterms:modified xsi:type="dcterms:W3CDTF">2026-07-16T13:30:04Z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