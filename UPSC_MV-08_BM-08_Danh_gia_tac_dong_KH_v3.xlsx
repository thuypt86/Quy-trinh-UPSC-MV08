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Đánh giá tác động KH" sheetId="1" state="visible" r:id="rId3"/>
    <sheet name="So sánh thị trường" sheetId="2" state="visible" r:id="rId4"/>
    <sheet name="Đánh giá theo KH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<sst xmlns="http://schemas.openxmlformats.org/spreadsheetml/2006/main" count="107" uniqueCount="80">
  <si>
    <t xml:space="preserve">CÔNG TY CỔ PHẦN CHỨNG KHOÁN UP — BM-08</t>
  </si>
  <si>
    <t xml:space="preserve">ĐÁNH GIÁ ẢNH HƯỞNG ĐẾN KHÁCH HÀNG KHI ĐIỀU CHỈNH DANH MỤC KÝ QUỸ</t>
  </si>
  <si>
    <t xml:space="preserve">Đầu ra của bước A2b (định kỳ) / M2 (đột xuất) — trước khi trình phê duyệt</t>
  </si>
  <si>
    <t xml:space="preserve">Loại điều chỉnh:</t>
  </si>
  <si>
    <t xml:space="preserve">[ ] Định kỳ   [ ] Đột xuất (siết/nới)</t>
  </si>
  <si>
    <t xml:space="preserve">Kỳ / ngày lập:</t>
  </si>
  <si>
    <t xml:space="preserve">...... / ...... / ..........</t>
  </si>
  <si>
    <t xml:space="preserve">Người lập (NCPT):</t>
  </si>
  <si>
    <t xml:space="preserve">............................</t>
  </si>
  <si>
    <t xml:space="preserve">Mã CK</t>
  </si>
  <si>
    <t xml:space="preserve">Số KH có margin</t>
  </si>
  <si>
    <t xml:space="preserve">KL KH nắm giữ (CP)</t>
  </si>
  <si>
    <t xml:space="preserve">Giá thị trường</t>
  </si>
  <si>
    <t xml:space="preserve">LTV cũ (%)</t>
  </si>
  <si>
    <t xml:space="preserve">LTV mới (%)</t>
  </si>
  <si>
    <t xml:space="preserve">Giá chặn cũ</t>
  </si>
  <si>
    <t xml:space="preserve">Giá chặn mới</t>
  </si>
  <si>
    <t xml:space="preserve">Room cũ (CP)</t>
  </si>
  <si>
    <t xml:space="preserve">Room mới (CP)</t>
  </si>
  <si>
    <t xml:space="preserve">Dư nợ margin liên quan (đồng)</t>
  </si>
  <si>
    <t xml:space="preserve">Sức vay tối đa CŨ (đồng)</t>
  </si>
  <si>
    <t xml:space="preserve">Sức vay tối đa MỚI (đồng)</t>
  </si>
  <si>
    <t xml:space="preserve">Thay đổi sức vay (đồng)</t>
  </si>
  <si>
    <t xml:space="preserve">Thiếu hụt / nguy cơ call (đồng)</t>
  </si>
  <si>
    <t xml:space="preserve">Số KH nguy cơ (ước tính)</t>
  </si>
  <si>
    <t xml:space="preserve">Mức ảnh hưởng</t>
  </si>
  <si>
    <t xml:space="preserve">HPG</t>
  </si>
  <si>
    <t xml:space="preserve">XYZ</t>
  </si>
  <si>
    <t xml:space="preserve">VNM</t>
  </si>
  <si>
    <t xml:space="preserve">TỔNG HỢP TÁC ĐỘNG</t>
  </si>
  <si>
    <t xml:space="preserve">Số mã điều chỉnh</t>
  </si>
  <si>
    <t xml:space="preserve">Số mã có nguy cơ call margin</t>
  </si>
  <si>
    <t xml:space="preserve">Tổng dư nợ margin liên quan (đồng)</t>
  </si>
  <si>
    <t xml:space="preserve">Tổng giá trị thiếu hụt / cần bổ sung (đồng)</t>
  </si>
  <si>
    <t xml:space="preserve">Tổng KH ước tính bị ảnh hưởng (upper bound)</t>
  </si>
  <si>
    <t xml:space="preserve">Kết luận &amp; khuyến nghị điều chỉnh danh mục:</t>
  </si>
  <si>
    <t xml:space="preserve">[ Nêu phương án cân bằng rủi ro và ảnh hưởng KH; lộ trình/độ trễ áp dụng; nhóm mã cần thông báo sớm ]</t>
  </si>
  <si>
    <t xml:space="preserve">Ghi chú: Sức vay tối đa = min(KL nắm, Room) × Giá chặn × LTV. Thiếu hụt = max(0, Dư nợ − Sức vay mới) → khách hàng cần bổ sung ký quỹ / giảm dư nợ để tránh call margin.</t>
  </si>
  <si>
    <t xml:space="preserve">SO SÁNH LTV VỚI CÁC CÔNG TY CHỨNG KHOÁN CỤ THỂ</t>
  </si>
  <si>
    <t xml:space="preserve">Nhập LTV của từng CTCK đối thủ cho mỗi mã (đổi tên cột theo danh sách đối thủ thực tế của UPSC).</t>
  </si>
  <si>
    <t xml:space="preserve">LTV UPSC (mới) %</t>
  </si>
  <si>
    <t xml:space="preserve">SSI %</t>
  </si>
  <si>
    <t xml:space="preserve">HSC %</t>
  </si>
  <si>
    <t xml:space="preserve">VNDIRECT %</t>
  </si>
  <si>
    <t xml:space="preserve">VCSC %</t>
  </si>
  <si>
    <t xml:space="preserve">MBS %</t>
  </si>
  <si>
    <t xml:space="preserve">TB đối thủ %</t>
  </si>
  <si>
    <t xml:space="preserve">Thấp nhất %</t>
  </si>
  <si>
    <t xml:space="preserve">Cao nhất %</t>
  </si>
  <si>
    <t xml:space="preserve">Chênh lệch vs TB (%)</t>
  </si>
  <si>
    <t xml:space="preserve">Đánh giá vị thế</t>
  </si>
  <si>
    <t xml:space="preserve">Ghi chú: TB / Thấp nhất / Cao nhất tính trên các CTCK đối thủ đã nhập. Đánh giá so LTV UPSC với mặt bằng nhóm đối thủ (ngưỡng ±5%). LTV thấp hơn = UPSC thận trọng hơn.</t>
  </si>
  <si>
    <t xml:space="preserve">ĐÁNH GIÁ TÁC ĐỘNG THEO TỪNG KHÁCH HÀNG</t>
  </si>
  <si>
    <t xml:space="preserve">Một khách hàng có thể nắm nhiều mã với tỷ lệ tài khoản khác nhau — đánh giá ở cấp tài khoản.</t>
  </si>
  <si>
    <t xml:space="preserve">A. DANH MỤC NẮM GIỮ KÝ QUỸ CỦA KHÁCH HÀNG</t>
  </si>
  <si>
    <t xml:space="preserve">Mã KH</t>
  </si>
  <si>
    <t xml:space="preserve">Tên KH</t>
  </si>
  <si>
    <t xml:space="preserve">KL nắm (CP)</t>
  </si>
  <si>
    <t xml:space="preserve">Giá TT</t>
  </si>
  <si>
    <t xml:space="preserve">LTV cũ %</t>
  </si>
  <si>
    <t xml:space="preserve">LTV mới %</t>
  </si>
  <si>
    <t xml:space="preserve">Sức vay CŨ (đồng)</t>
  </si>
  <si>
    <t xml:space="preserve">Sức vay MỚI (đồng)</t>
  </si>
  <si>
    <t xml:space="preserve">GT thị trường (đồng)</t>
  </si>
  <si>
    <t xml:space="preserve">KH001</t>
  </si>
  <si>
    <t xml:space="preserve">Nguyễn Văn A</t>
  </si>
  <si>
    <t xml:space="preserve">KH002</t>
  </si>
  <si>
    <t xml:space="preserve">Trần Thị B</t>
  </si>
  <si>
    <t xml:space="preserve">KH003</t>
  </si>
  <si>
    <t xml:space="preserve">Lê Văn C</t>
  </si>
  <si>
    <t xml:space="preserve">B. TỔNG HỢP THEO KHÁCH HÀNG (cấp tài khoản)</t>
  </si>
  <si>
    <t xml:space="preserve">Tổng GT thị trường</t>
  </si>
  <si>
    <t xml:space="preserve">Tổng sức vay CŨ</t>
  </si>
  <si>
    <t xml:space="preserve">Tổng sức vay MỚI</t>
  </si>
  <si>
    <t xml:space="preserve">Dư nợ hiện tại</t>
  </si>
  <si>
    <t xml:space="preserve">Tỷ lệ ký quỹ (Rtt) %</t>
  </si>
  <si>
    <t xml:space="preserve">Tỷ lệ dùng sức vay MỚI %</t>
  </si>
  <si>
    <t xml:space="preserve">Thiếu hụt (đồng)</t>
  </si>
  <si>
    <t xml:space="preserve">Trạng thái</t>
  </si>
  <si>
    <t xml:space="preserve">Ghi chú: Rtt = (Tổng GT thị trường − Dư nợ)/Tổng GT thị trường. Tỷ lệ dùng sức vay = Dư nợ/Tổng sức vay mới; &gt; 100% → vượt, phát sinh call margin. Thiếu hụt = max(0, Dư nợ − Tổng sức vay mới).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</si>
</sst>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"/>
    <numFmt numFmtId="166" formatCode="0.0"/>
    <numFmt numFmtId="167" formatCode="0.0%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1F3864"/>
      <name val="Arial"/>
      <family val="0"/>
      <charset val="1"/>
    </font>
    <font>
      <b val="true"/>
      <sz val="11"/>
      <color rgb="FF2E5496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8.5"/>
      <color rgb="FFFFFFFF"/>
      <name val="Arial"/>
      <family val="0"/>
      <charset val="1"/>
    </font>
    <font>
      <sz val="9"/>
      <color rgb="FF0000FF"/>
      <name val="Arial"/>
      <family val="0"/>
      <charset val="1"/>
    </font>
    <font>
      <sz val="9"/>
      <name val="Arial"/>
      <family val="0"/>
      <charset val="1"/>
    </font>
    <font>
      <b val="true"/>
      <sz val="9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b val="true"/>
      <sz val="10"/>
      <color rgb="FF2E5496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2E5496"/>
        <bgColor rgb="FF1F3864"/>
      </patternFill>
    </fill>
    <fill>
      <patternFill patternType="solid">
        <fgColor rgb="FF1F7A6D"/>
        <bgColor rgb="FF008080"/>
      </patternFill>
    </fill>
    <fill>
      <patternFill patternType="solid">
        <fgColor rgb="FFF2F2F2"/>
        <bgColor rgb="FFFFFFFF"/>
      </patternFill>
    </fill>
    <fill>
      <patternFill patternType="solid">
        <fgColor rgb="FF1F3864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2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F7A6D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E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0"/>
    <col collapsed="false" customWidth="true" hidden="false" outlineLevel="0" max="3" min="3" style="0" width="13"/>
    <col collapsed="false" customWidth="true" hidden="false" outlineLevel="0" max="4" min="4" style="0" width="11"/>
    <col collapsed="false" customWidth="true" hidden="false" outlineLevel="0" max="6" min="5" style="0" width="8"/>
    <col collapsed="false" customWidth="true" hidden="false" outlineLevel="0" max="8" min="7" style="0" width="11"/>
    <col collapsed="false" customWidth="true" hidden="false" outlineLevel="0" max="10" min="9" style="0" width="12"/>
    <col collapsed="false" customWidth="true" hidden="false" outlineLevel="0" max="13" min="11" style="0" width="17"/>
    <col collapsed="false" customWidth="true" hidden="false" outlineLevel="0" max="14" min="14" style="0" width="16"/>
    <col collapsed="false" customWidth="true" hidden="false" outlineLevel="0" max="15" min="15" style="0" width="17"/>
    <col collapsed="false" customWidth="true" hidden="false" outlineLevel="0" max="16" min="16" style="0" width="12"/>
    <col collapsed="false" customWidth="true" hidden="false" outlineLevel="0" max="17" min="17" style="0" width="15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2</v>
      </c>
    </row>
    <row r="4" customFormat="false" ht="15" hidden="false" customHeight="false" outlineLevel="0" collapsed="false">
      <c r="A4" s="4" t="s">
        <v>3</v>
      </c>
      <c r="D4" s="5" t="s">
        <v>4</v>
      </c>
    </row>
    <row r="5" customFormat="false" ht="15" hidden="false" customHeight="false" outlineLevel="0" collapsed="false">
      <c r="A5" s="4" t="s">
        <v>5</v>
      </c>
      <c r="D5" s="5" t="s">
        <v>6</v>
      </c>
    </row>
    <row r="6" customFormat="false" ht="15" hidden="false" customHeight="false" outlineLevel="0" collapsed="false">
      <c r="A6" s="4" t="s">
        <v>7</v>
      </c>
      <c r="D6" s="5" t="s">
        <v>8</v>
      </c>
    </row>
    <row r="8" customFormat="false" ht="42" hidden="false" customHeight="true" outlineLevel="0" collapsed="false">
      <c r="A8" s="6" t="s">
        <v>9</v>
      </c>
      <c r="B8" s="6" t="s">
        <v>10</v>
      </c>
      <c r="C8" s="6" t="s">
        <v>11</v>
      </c>
      <c r="D8" s="6" t="s">
        <v>12</v>
      </c>
      <c r="E8" s="6" t="s">
        <v>13</v>
      </c>
      <c r="F8" s="6" t="s">
        <v>14</v>
      </c>
      <c r="G8" s="6" t="s">
        <v>15</v>
      </c>
      <c r="H8" s="6" t="s">
        <v>16</v>
      </c>
      <c r="I8" s="6" t="s">
        <v>17</v>
      </c>
      <c r="J8" s="6" t="s">
        <v>18</v>
      </c>
      <c r="K8" s="6" t="s">
        <v>19</v>
      </c>
      <c r="L8" s="7" t="s">
        <v>20</v>
      </c>
      <c r="M8" s="7" t="s">
        <v>21</v>
      </c>
      <c r="N8" s="7" t="s">
        <v>22</v>
      </c>
      <c r="O8" s="7" t="s">
        <v>23</v>
      </c>
      <c r="P8" s="7" t="s">
        <v>24</v>
      </c>
      <c r="Q8" s="7" t="s">
        <v>25</v>
      </c>
    </row>
    <row r="9" customFormat="false" ht="15" hidden="false" customHeight="false" outlineLevel="0" collapsed="false">
      <c r="A9" s="8" t="s">
        <v>26</v>
      </c>
      <c r="B9" s="8" t="n">
        <v>120</v>
      </c>
      <c r="C9" s="9" t="n">
        <v>5000000</v>
      </c>
      <c r="D9" s="9" t="n">
        <v>26000</v>
      </c>
      <c r="E9" s="8" t="n">
        <v>50</v>
      </c>
      <c r="F9" s="8" t="n">
        <v>40</v>
      </c>
      <c r="G9" s="9" t="n">
        <v>26000</v>
      </c>
      <c r="H9" s="9" t="n">
        <v>26000</v>
      </c>
      <c r="I9" s="9" t="n">
        <v>35000000</v>
      </c>
      <c r="J9" s="9" t="n">
        <v>30000000</v>
      </c>
      <c r="K9" s="9" t="n">
        <v>58000000000</v>
      </c>
      <c r="L9" s="10" t="n">
        <f aca="false">MIN(C9,I9)*G9*E9/100</f>
        <v>65000000000</v>
      </c>
      <c r="M9" s="10" t="n">
        <f aca="false">MIN(C9,J9)*H9*F9/100</f>
        <v>52000000000</v>
      </c>
      <c r="N9" s="10" t="n">
        <f aca="false">M9-L9</f>
        <v>-13000000000</v>
      </c>
      <c r="O9" s="11" t="n">
        <f aca="false">MAX(0,K9-M9)</f>
        <v>6000000000</v>
      </c>
      <c r="P9" s="12" t="n">
        <f aca="false">IF(O9&gt;0,B9,0)</f>
        <v>120</v>
      </c>
      <c r="Q9" s="13" t="str">
        <f aca="false">IF(O9&gt;0,"Nguy cơ call margin",IF(N9&lt;0,"Giảm sức vay","Không ảnh hưởng"))</f>
        <v>Nguy cơ call margin</v>
      </c>
    </row>
    <row r="10" customFormat="false" ht="15" hidden="false" customHeight="false" outlineLevel="0" collapsed="false">
      <c r="A10" s="8" t="s">
        <v>27</v>
      </c>
      <c r="B10" s="8" t="n">
        <v>45</v>
      </c>
      <c r="C10" s="9" t="n">
        <v>200000</v>
      </c>
      <c r="D10" s="9" t="n">
        <v>12000</v>
      </c>
      <c r="E10" s="8" t="n">
        <v>50</v>
      </c>
      <c r="F10" s="8" t="n">
        <v>0</v>
      </c>
      <c r="G10" s="9" t="n">
        <v>15600</v>
      </c>
      <c r="H10" s="9" t="n">
        <v>0</v>
      </c>
      <c r="I10" s="9" t="n">
        <v>90000</v>
      </c>
      <c r="J10" s="9" t="n">
        <v>0</v>
      </c>
      <c r="K10" s="9" t="n">
        <v>500000000</v>
      </c>
      <c r="L10" s="10" t="n">
        <f aca="false">MIN(C10,I10)*G10*E10/100</f>
        <v>702000000</v>
      </c>
      <c r="M10" s="10" t="n">
        <f aca="false">MIN(C10,J10)*H10*F10/100</f>
        <v>0</v>
      </c>
      <c r="N10" s="10" t="n">
        <f aca="false">M10-L10</f>
        <v>-702000000</v>
      </c>
      <c r="O10" s="11" t="n">
        <f aca="false">MAX(0,K10-M10)</f>
        <v>500000000</v>
      </c>
      <c r="P10" s="12" t="n">
        <f aca="false">IF(O10&gt;0,B10,0)</f>
        <v>45</v>
      </c>
      <c r="Q10" s="13" t="str">
        <f aca="false">IF(O10&gt;0,"Nguy cơ call margin",IF(N10&lt;0,"Giảm sức vay","Không ảnh hưởng"))</f>
        <v>Nguy cơ call margin</v>
      </c>
    </row>
    <row r="11" customFormat="false" ht="15" hidden="false" customHeight="false" outlineLevel="0" collapsed="false">
      <c r="A11" s="8" t="s">
        <v>28</v>
      </c>
      <c r="B11" s="8" t="n">
        <v>80</v>
      </c>
      <c r="C11" s="9" t="n">
        <v>1000000</v>
      </c>
      <c r="D11" s="9" t="n">
        <v>70000</v>
      </c>
      <c r="E11" s="8" t="n">
        <v>50</v>
      </c>
      <c r="F11" s="8" t="n">
        <v>50</v>
      </c>
      <c r="G11" s="9" t="n">
        <v>70000</v>
      </c>
      <c r="H11" s="9" t="n">
        <v>70000</v>
      </c>
      <c r="I11" s="9" t="n">
        <v>2500000</v>
      </c>
      <c r="J11" s="9" t="n">
        <v>2500000</v>
      </c>
      <c r="K11" s="9" t="n">
        <v>20000000000</v>
      </c>
      <c r="L11" s="10" t="n">
        <f aca="false">MIN(C11,I11)*G11*E11/100</f>
        <v>35000000000</v>
      </c>
      <c r="M11" s="10" t="n">
        <f aca="false">MIN(C11,J11)*H11*F11/100</f>
        <v>35000000000</v>
      </c>
      <c r="N11" s="10" t="n">
        <f aca="false">M11-L11</f>
        <v>0</v>
      </c>
      <c r="O11" s="11" t="n">
        <f aca="false">MAX(0,K11-M11)</f>
        <v>0</v>
      </c>
      <c r="P11" s="12" t="n">
        <f aca="false">IF(O11&gt;0,B11,0)</f>
        <v>0</v>
      </c>
      <c r="Q11" s="13" t="str">
        <f aca="false">IF(O11&gt;0,"Nguy cơ call margin",IF(N11&lt;0,"Giảm sức vay","Không ảnh hưởng"))</f>
        <v>Không ảnh hưởng</v>
      </c>
    </row>
    <row r="12" customFormat="false" ht="15" hidden="false" customHeight="false" outlineLevel="0" collapsed="false">
      <c r="A12" s="14"/>
      <c r="B12" s="14"/>
      <c r="C12" s="15"/>
      <c r="D12" s="15"/>
      <c r="E12" s="14"/>
      <c r="F12" s="14"/>
      <c r="G12" s="15"/>
      <c r="H12" s="15"/>
      <c r="I12" s="15"/>
      <c r="J12" s="15"/>
      <c r="K12" s="15"/>
      <c r="L12" s="15" t="str">
        <f aca="false">IF(A12="","",MIN(C12,I12)*G12*E12/100)</f>
        <v/>
      </c>
      <c r="M12" s="15" t="str">
        <f aca="false">IF(A12="","",MIN(C12,J12)*H12*F12/100)</f>
        <v/>
      </c>
      <c r="N12" s="15" t="str">
        <f aca="false">IF(A12="","",M12-L12)</f>
        <v/>
      </c>
      <c r="O12" s="15" t="str">
        <f aca="false">IF(A12="","",MAX(0,K12-M12))</f>
        <v/>
      </c>
      <c r="P12" s="14" t="str">
        <f aca="false">IF(A12="","",IF(O12&gt;0,B12,0))</f>
        <v/>
      </c>
      <c r="Q12" s="14" t="str">
        <f aca="false">IF(A12="","",IF(O12&gt;0,"Nguy cơ call margin",IF(N12&lt;0,"Giảm sức vay","Không ảnh hưởng")))</f>
        <v/>
      </c>
    </row>
    <row r="13" customFormat="false" ht="15" hidden="false" customHeight="false" outlineLevel="0" collapsed="false">
      <c r="A13" s="14"/>
      <c r="B13" s="14"/>
      <c r="C13" s="15"/>
      <c r="D13" s="15"/>
      <c r="E13" s="14"/>
      <c r="F13" s="14"/>
      <c r="G13" s="15"/>
      <c r="H13" s="15"/>
      <c r="I13" s="15"/>
      <c r="J13" s="15"/>
      <c r="K13" s="15"/>
      <c r="L13" s="15" t="str">
        <f aca="false">IF(A13="","",MIN(C13,I13)*G13*E13/100)</f>
        <v/>
      </c>
      <c r="M13" s="15" t="str">
        <f aca="false">IF(A13="","",MIN(C13,J13)*H13*F13/100)</f>
        <v/>
      </c>
      <c r="N13" s="15" t="str">
        <f aca="false">IF(A13="","",M13-L13)</f>
        <v/>
      </c>
      <c r="O13" s="15" t="str">
        <f aca="false">IF(A13="","",MAX(0,K13-M13))</f>
        <v/>
      </c>
      <c r="P13" s="14" t="str">
        <f aca="false">IF(A13="","",IF(O13&gt;0,B13,0))</f>
        <v/>
      </c>
      <c r="Q13" s="14" t="str">
        <f aca="false">IF(A13="","",IF(O13&gt;0,"Nguy cơ call margin",IF(N13&lt;0,"Giảm sức vay","Không ảnh hưởng")))</f>
        <v/>
      </c>
    </row>
    <row r="14" customFormat="false" ht="15" hidden="false" customHeight="false" outlineLevel="0" collapsed="false">
      <c r="A14" s="14"/>
      <c r="B14" s="14"/>
      <c r="C14" s="15"/>
      <c r="D14" s="15"/>
      <c r="E14" s="14"/>
      <c r="F14" s="14"/>
      <c r="G14" s="15"/>
      <c r="H14" s="15"/>
      <c r="I14" s="15"/>
      <c r="J14" s="15"/>
      <c r="K14" s="15"/>
      <c r="L14" s="15" t="str">
        <f aca="false">IF(A14="","",MIN(C14,I14)*G14*E14/100)</f>
        <v/>
      </c>
      <c r="M14" s="15" t="str">
        <f aca="false">IF(A14="","",MIN(C14,J14)*H14*F14/100)</f>
        <v/>
      </c>
      <c r="N14" s="15" t="str">
        <f aca="false">IF(A14="","",M14-L14)</f>
        <v/>
      </c>
      <c r="O14" s="15" t="str">
        <f aca="false">IF(A14="","",MAX(0,K14-M14))</f>
        <v/>
      </c>
      <c r="P14" s="14" t="str">
        <f aca="false">IF(A14="","",IF(O14&gt;0,B14,0))</f>
        <v/>
      </c>
      <c r="Q14" s="14" t="str">
        <f aca="false">IF(A14="","",IF(O14&gt;0,"Nguy cơ call margin",IF(N14&lt;0,"Giảm sức vay","Không ảnh hưởng")))</f>
        <v/>
      </c>
    </row>
    <row r="15" customFormat="false" ht="15" hidden="false" customHeight="false" outlineLevel="0" collapsed="false">
      <c r="A15" s="14"/>
      <c r="B15" s="14"/>
      <c r="C15" s="15"/>
      <c r="D15" s="15"/>
      <c r="E15" s="14"/>
      <c r="F15" s="14"/>
      <c r="G15" s="15"/>
      <c r="H15" s="15"/>
      <c r="I15" s="15"/>
      <c r="J15" s="15"/>
      <c r="K15" s="15"/>
      <c r="L15" s="15" t="str">
        <f aca="false">IF(A15="","",MIN(C15,I15)*G15*E15/100)</f>
        <v/>
      </c>
      <c r="M15" s="15" t="str">
        <f aca="false">IF(A15="","",MIN(C15,J15)*H15*F15/100)</f>
        <v/>
      </c>
      <c r="N15" s="15" t="str">
        <f aca="false">IF(A15="","",M15-L15)</f>
        <v/>
      </c>
      <c r="O15" s="15" t="str">
        <f aca="false">IF(A15="","",MAX(0,K15-M15))</f>
        <v/>
      </c>
      <c r="P15" s="14" t="str">
        <f aca="false">IF(A15="","",IF(O15&gt;0,B15,0))</f>
        <v/>
      </c>
      <c r="Q15" s="14" t="str">
        <f aca="false">IF(A15="","",IF(O15&gt;0,"Nguy cơ call margin",IF(N15&lt;0,"Giảm sức vay","Không ảnh hưởng")))</f>
        <v/>
      </c>
    </row>
    <row r="16" customFormat="false" ht="15" hidden="false" customHeight="false" outlineLevel="0" collapsed="false">
      <c r="A16" s="14"/>
      <c r="B16" s="14"/>
      <c r="C16" s="15"/>
      <c r="D16" s="15"/>
      <c r="E16" s="14"/>
      <c r="F16" s="14"/>
      <c r="G16" s="15"/>
      <c r="H16" s="15"/>
      <c r="I16" s="15"/>
      <c r="J16" s="15"/>
      <c r="K16" s="15"/>
      <c r="L16" s="15" t="str">
        <f aca="false">IF(A16="","",MIN(C16,I16)*G16*E16/100)</f>
        <v/>
      </c>
      <c r="M16" s="15" t="str">
        <f aca="false">IF(A16="","",MIN(C16,J16)*H16*F16/100)</f>
        <v/>
      </c>
      <c r="N16" s="15" t="str">
        <f aca="false">IF(A16="","",M16-L16)</f>
        <v/>
      </c>
      <c r="O16" s="15" t="str">
        <f aca="false">IF(A16="","",MAX(0,K16-M16))</f>
        <v/>
      </c>
      <c r="P16" s="14" t="str">
        <f aca="false">IF(A16="","",IF(O16&gt;0,B16,0))</f>
        <v/>
      </c>
      <c r="Q16" s="14" t="str">
        <f aca="false">IF(A16="","",IF(O16&gt;0,"Nguy cơ call margin",IF(N16&lt;0,"Giảm sức vay","Không ảnh hưởng")))</f>
        <v/>
      </c>
    </row>
    <row r="18" customFormat="false" ht="15" hidden="false" customHeight="false" outlineLevel="0" collapsed="false">
      <c r="A18" s="16" t="s">
        <v>29</v>
      </c>
    </row>
    <row r="19" customFormat="false" ht="15" hidden="false" customHeight="false" outlineLevel="0" collapsed="false">
      <c r="A19" s="17" t="s">
        <v>30</v>
      </c>
      <c r="B19" s="17"/>
      <c r="C19" s="17"/>
      <c r="D19" s="18" t="n">
        <f aca="false">COUNTIF(A9:A16,"?*")</f>
        <v>3</v>
      </c>
    </row>
    <row r="20" customFormat="false" ht="15" hidden="false" customHeight="false" outlineLevel="0" collapsed="false">
      <c r="A20" s="17" t="s">
        <v>31</v>
      </c>
      <c r="B20" s="17"/>
      <c r="C20" s="17"/>
      <c r="D20" s="18" t="n">
        <f aca="false">COUNTIF(O9:O16,"&gt;0")</f>
        <v>2</v>
      </c>
    </row>
    <row r="21" customFormat="false" ht="15" hidden="false" customHeight="false" outlineLevel="0" collapsed="false">
      <c r="A21" s="17" t="s">
        <v>32</v>
      </c>
      <c r="B21" s="17"/>
      <c r="C21" s="17"/>
      <c r="D21" s="19" t="n">
        <f aca="false">SUM(K9:K16)</f>
        <v>78500000000</v>
      </c>
    </row>
    <row r="22" customFormat="false" ht="15" hidden="false" customHeight="false" outlineLevel="0" collapsed="false">
      <c r="A22" s="17" t="s">
        <v>33</v>
      </c>
      <c r="B22" s="17"/>
      <c r="C22" s="17"/>
      <c r="D22" s="19" t="n">
        <f aca="false">SUM(O9:O16)</f>
        <v>6500000000</v>
      </c>
    </row>
    <row r="23" customFormat="false" ht="15" hidden="false" customHeight="false" outlineLevel="0" collapsed="false">
      <c r="A23" s="17" t="s">
        <v>34</v>
      </c>
      <c r="B23" s="17"/>
      <c r="C23" s="17"/>
      <c r="D23" s="18" t="n">
        <f aca="false">SUM(P9:P16)</f>
        <v>165</v>
      </c>
    </row>
    <row r="25" customFormat="false" ht="15" hidden="false" customHeight="false" outlineLevel="0" collapsed="false">
      <c r="A25" s="4" t="s">
        <v>35</v>
      </c>
    </row>
    <row r="26" customFormat="false" ht="15" hidden="false" customHeight="false" outlineLevel="0" collapsed="false">
      <c r="A26" s="3" t="s">
        <v>36</v>
      </c>
    </row>
    <row r="28" customFormat="false" ht="15" hidden="false" customHeight="false" outlineLevel="0" collapsed="false">
      <c r="A28" s="20" t="s">
        <v>37</v>
      </c>
      <c r="B28" s="20"/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</row>
  </sheetData>
  <mergeCells count="6">
    <mergeCell ref="A19:C19"/>
    <mergeCell ref="A20:C20"/>
    <mergeCell ref="A21:C21"/>
    <mergeCell ref="A22:C22"/>
    <mergeCell ref="A23:C23"/>
    <mergeCell ref="A28:Q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5"/>
    <col collapsed="false" customWidth="true" hidden="false" outlineLevel="0" max="4" min="3" style="0" width="9"/>
    <col collapsed="false" customWidth="true" hidden="false" outlineLevel="0" max="5" min="5" style="0" width="12"/>
    <col collapsed="false" customWidth="true" hidden="false" outlineLevel="0" max="7" min="6" style="0" width="9"/>
    <col collapsed="false" customWidth="true" hidden="false" outlineLevel="0" max="8" min="8" style="0" width="12"/>
    <col collapsed="false" customWidth="true" hidden="false" outlineLevel="0" max="10" min="9" style="0" width="11"/>
    <col collapsed="false" customWidth="true" hidden="false" outlineLevel="0" max="11" min="11" style="0" width="16"/>
    <col collapsed="false" customWidth="true" hidden="false" outlineLevel="0" max="12" min="12" style="0" width="20"/>
  </cols>
  <sheetData>
    <row r="1" customFormat="false" ht="15" hidden="false" customHeight="false" outlineLevel="0" collapsed="false">
      <c r="A1" s="21" t="s">
        <v>38</v>
      </c>
    </row>
    <row r="2" customFormat="false" ht="15" hidden="false" customHeight="false" outlineLevel="0" collapsed="false">
      <c r="A2" s="3" t="s">
        <v>39</v>
      </c>
    </row>
    <row r="4" customFormat="false" ht="33.75" hidden="false" customHeight="true" outlineLevel="0" collapsed="false">
      <c r="A4" s="6" t="s">
        <v>9</v>
      </c>
      <c r="B4" s="6" t="s">
        <v>40</v>
      </c>
      <c r="C4" s="7" t="s">
        <v>41</v>
      </c>
      <c r="D4" s="7" t="s">
        <v>42</v>
      </c>
      <c r="E4" s="7" t="s">
        <v>43</v>
      </c>
      <c r="F4" s="7" t="s">
        <v>44</v>
      </c>
      <c r="G4" s="7" t="s">
        <v>45</v>
      </c>
      <c r="H4" s="22" t="s">
        <v>46</v>
      </c>
      <c r="I4" s="22" t="s">
        <v>47</v>
      </c>
      <c r="J4" s="22" t="s">
        <v>48</v>
      </c>
      <c r="K4" s="22" t="s">
        <v>49</v>
      </c>
      <c r="L4" s="22" t="s">
        <v>50</v>
      </c>
    </row>
    <row r="5" customFormat="false" ht="15" hidden="false" customHeight="false" outlineLevel="0" collapsed="false">
      <c r="A5" s="8" t="s">
        <v>26</v>
      </c>
      <c r="B5" s="8" t="n">
        <v>40</v>
      </c>
      <c r="C5" s="8" t="n">
        <v>45</v>
      </c>
      <c r="D5" s="8" t="n">
        <v>45</v>
      </c>
      <c r="E5" s="8" t="n">
        <v>40</v>
      </c>
      <c r="F5" s="8" t="n">
        <v>45</v>
      </c>
      <c r="G5" s="8" t="n">
        <v>40</v>
      </c>
      <c r="H5" s="23" t="n">
        <f aca="false">IF(A5="","",AVERAGE(C5:G5))</f>
        <v>43</v>
      </c>
      <c r="I5" s="23" t="n">
        <f aca="false">IF(A5="","",MIN(C5:G5))</f>
        <v>40</v>
      </c>
      <c r="J5" s="23" t="n">
        <f aca="false">IF(A5="","",MAX(C5:G5))</f>
        <v>45</v>
      </c>
      <c r="K5" s="23" t="n">
        <f aca="false">IF(A5="","",B5-H5)</f>
        <v>-3</v>
      </c>
      <c r="L5" s="13" t="str">
        <f aca="false">IF(A5="","",IF(B5&lt;I5,"Thận trọng hơn tất cả",IF(B5&gt;J5,"Cao hơn tất cả",IF(B5&lt;H5-5,"Thấp hơn mặt bằng",IF(B5&gt;H5+5,"Cao hơn mặt bằng","Tương đương")))))</f>
        <v>Tương đương</v>
      </c>
    </row>
    <row r="6" customFormat="false" ht="15" hidden="false" customHeight="false" outlineLevel="0" collapsed="false">
      <c r="A6" s="8" t="s">
        <v>27</v>
      </c>
      <c r="B6" s="8" t="n">
        <v>0</v>
      </c>
      <c r="C6" s="8" t="n">
        <v>20</v>
      </c>
      <c r="D6" s="8" t="n">
        <v>0</v>
      </c>
      <c r="E6" s="8" t="n">
        <v>15</v>
      </c>
      <c r="F6" s="8" t="n">
        <v>0</v>
      </c>
      <c r="G6" s="8" t="n">
        <v>10</v>
      </c>
      <c r="H6" s="23" t="n">
        <f aca="false">IF(A6="","",AVERAGE(C6:G6))</f>
        <v>9</v>
      </c>
      <c r="I6" s="23" t="n">
        <f aca="false">IF(A6="","",MIN(C6:G6))</f>
        <v>0</v>
      </c>
      <c r="J6" s="23" t="n">
        <f aca="false">IF(A6="","",MAX(C6:G6))</f>
        <v>20</v>
      </c>
      <c r="K6" s="23" t="n">
        <f aca="false">IF(A6="","",B6-H6)</f>
        <v>-9</v>
      </c>
      <c r="L6" s="13" t="str">
        <f aca="false">IF(A6="","",IF(B6&lt;I6,"Thận trọng hơn tất cả",IF(B6&gt;J6,"Cao hơn tất cả",IF(B6&lt;H6-5,"Thấp hơn mặt bằng",IF(B6&gt;H6+5,"Cao hơn mặt bằng","Tương đương")))))</f>
        <v>Thấp hơn mặt bằng</v>
      </c>
    </row>
    <row r="7" customFormat="false" ht="15" hidden="false" customHeight="false" outlineLevel="0" collapsed="false">
      <c r="A7" s="8" t="s">
        <v>28</v>
      </c>
      <c r="B7" s="8" t="n">
        <v>50</v>
      </c>
      <c r="C7" s="8" t="n">
        <v>50</v>
      </c>
      <c r="D7" s="8" t="n">
        <v>50</v>
      </c>
      <c r="E7" s="8" t="n">
        <v>45</v>
      </c>
      <c r="F7" s="8" t="n">
        <v>50</v>
      </c>
      <c r="G7" s="8" t="n">
        <v>50</v>
      </c>
      <c r="H7" s="23" t="n">
        <f aca="false">IF(A7="","",AVERAGE(C7:G7))</f>
        <v>49</v>
      </c>
      <c r="I7" s="23" t="n">
        <f aca="false">IF(A7="","",MIN(C7:G7))</f>
        <v>45</v>
      </c>
      <c r="J7" s="23" t="n">
        <f aca="false">IF(A7="","",MAX(C7:G7))</f>
        <v>50</v>
      </c>
      <c r="K7" s="23" t="n">
        <f aca="false">IF(A7="","",B7-H7)</f>
        <v>1</v>
      </c>
      <c r="L7" s="13" t="str">
        <f aca="false">IF(A7="","",IF(B7&lt;I7,"Thận trọng hơn tất cả",IF(B7&gt;J7,"Cao hơn tất cả",IF(B7&lt;H7-5,"Thấp hơn mặt bằng",IF(B7&gt;H7+5,"Cao hơn mặt bằng","Tương đương")))))</f>
        <v>Tương đương</v>
      </c>
    </row>
    <row r="8" customFormat="false" ht="15" hidden="false" customHeight="false" outlineLevel="0" collapsed="false">
      <c r="A8" s="14"/>
      <c r="B8" s="14"/>
      <c r="C8" s="14"/>
      <c r="D8" s="14"/>
      <c r="E8" s="14"/>
      <c r="F8" s="14"/>
      <c r="G8" s="14"/>
      <c r="H8" s="23" t="str">
        <f aca="false">IF(A8="","",AVERAGE(C8:G8))</f>
        <v/>
      </c>
      <c r="I8" s="23" t="str">
        <f aca="false">IF(A8="","",MIN(C8:G8))</f>
        <v/>
      </c>
      <c r="J8" s="23" t="str">
        <f aca="false">IF(A8="","",MAX(C8:G8))</f>
        <v/>
      </c>
      <c r="K8" s="23" t="str">
        <f aca="false">IF(A8="","",B8-H8)</f>
        <v/>
      </c>
      <c r="L8" s="13" t="str">
        <f aca="false">IF(A8="","",IF(B8&lt;I8,"Thận trọng hơn tất cả",IF(B8&gt;J8,"Cao hơn tất cả",IF(B8&lt;H8-5,"Thấp hơn mặt bằng",IF(B8&gt;H8+5,"Cao hơn mặt bằng","Tương đương")))))</f>
        <v/>
      </c>
    </row>
    <row r="9" customFormat="false" ht="15" hidden="false" customHeight="false" outlineLevel="0" collapsed="false">
      <c r="A9" s="14"/>
      <c r="B9" s="14"/>
      <c r="C9" s="14"/>
      <c r="D9" s="14"/>
      <c r="E9" s="14"/>
      <c r="F9" s="14"/>
      <c r="G9" s="14"/>
      <c r="H9" s="23" t="str">
        <f aca="false">IF(A9="","",AVERAGE(C9:G9))</f>
        <v/>
      </c>
      <c r="I9" s="23" t="str">
        <f aca="false">IF(A9="","",MIN(C9:G9))</f>
        <v/>
      </c>
      <c r="J9" s="23" t="str">
        <f aca="false">IF(A9="","",MAX(C9:G9))</f>
        <v/>
      </c>
      <c r="K9" s="23" t="str">
        <f aca="false">IF(A9="","",B9-H9)</f>
        <v/>
      </c>
      <c r="L9" s="13" t="str">
        <f aca="false">IF(A9="","",IF(B9&lt;I9,"Thận trọng hơn tất cả",IF(B9&gt;J9,"Cao hơn tất cả",IF(B9&lt;H9-5,"Thấp hơn mặt bằng",IF(B9&gt;H9+5,"Cao hơn mặt bằng","Tương đương")))))</f>
        <v/>
      </c>
    </row>
    <row r="10" customFormat="false" ht="15" hidden="false" customHeight="false" outlineLevel="0" collapsed="false">
      <c r="A10" s="14"/>
      <c r="B10" s="14"/>
      <c r="C10" s="14"/>
      <c r="D10" s="14"/>
      <c r="E10" s="14"/>
      <c r="F10" s="14"/>
      <c r="G10" s="14"/>
      <c r="H10" s="23" t="str">
        <f aca="false">IF(A10="","",AVERAGE(C10:G10))</f>
        <v/>
      </c>
      <c r="I10" s="23" t="str">
        <f aca="false">IF(A10="","",MIN(C10:G10))</f>
        <v/>
      </c>
      <c r="J10" s="23" t="str">
        <f aca="false">IF(A10="","",MAX(C10:G10))</f>
        <v/>
      </c>
      <c r="K10" s="23" t="str">
        <f aca="false">IF(A10="","",B10-H10)</f>
        <v/>
      </c>
      <c r="L10" s="13" t="str">
        <f aca="false">IF(A10="","",IF(B10&lt;I10,"Thận trọng hơn tất cả",IF(B10&gt;J10,"Cao hơn tất cả",IF(B10&lt;H10-5,"Thấp hơn mặt bằng",IF(B10&gt;H10+5,"Cao hơn mặt bằng","Tương đương")))))</f>
        <v/>
      </c>
    </row>
    <row r="11" customFormat="false" ht="15" hidden="false" customHeight="false" outlineLevel="0" collapsed="false">
      <c r="A11" s="14"/>
      <c r="B11" s="14"/>
      <c r="C11" s="14"/>
      <c r="D11" s="14"/>
      <c r="E11" s="14"/>
      <c r="F11" s="14"/>
      <c r="G11" s="14"/>
      <c r="H11" s="23" t="str">
        <f aca="false">IF(A11="","",AVERAGE(C11:G11))</f>
        <v/>
      </c>
      <c r="I11" s="23" t="str">
        <f aca="false">IF(A11="","",MIN(C11:G11))</f>
        <v/>
      </c>
      <c r="J11" s="23" t="str">
        <f aca="false">IF(A11="","",MAX(C11:G11))</f>
        <v/>
      </c>
      <c r="K11" s="23" t="str">
        <f aca="false">IF(A11="","",B11-H11)</f>
        <v/>
      </c>
      <c r="L11" s="13" t="str">
        <f aca="false">IF(A11="","",IF(B11&lt;I11,"Thận trọng hơn tất cả",IF(B11&gt;J11,"Cao hơn tất cả",IF(B11&lt;H11-5,"Thấp hơn mặt bằng",IF(B11&gt;H11+5,"Cao hơn mặt bằng","Tương đương")))))</f>
        <v/>
      </c>
    </row>
    <row r="12" customFormat="false" ht="15" hidden="false" customHeight="false" outlineLevel="0" collapsed="false">
      <c r="A12" s="14"/>
      <c r="B12" s="14"/>
      <c r="C12" s="14"/>
      <c r="D12" s="14"/>
      <c r="E12" s="14"/>
      <c r="F12" s="14"/>
      <c r="G12" s="14"/>
      <c r="H12" s="23" t="str">
        <f aca="false">IF(A12="","",AVERAGE(C12:G12))</f>
        <v/>
      </c>
      <c r="I12" s="23" t="str">
        <f aca="false">IF(A12="","",MIN(C12:G12))</f>
        <v/>
      </c>
      <c r="J12" s="23" t="str">
        <f aca="false">IF(A12="","",MAX(C12:G12))</f>
        <v/>
      </c>
      <c r="K12" s="23" t="str">
        <f aca="false">IF(A12="","",B12-H12)</f>
        <v/>
      </c>
      <c r="L12" s="13" t="str">
        <f aca="false">IF(A12="","",IF(B12&lt;I12,"Thận trọng hơn tất cả",IF(B12&gt;J12,"Cao hơn tất cả",IF(B12&lt;H12-5,"Thấp hơn mặt bằng",IF(B12&gt;H12+5,"Cao hơn mặt bằng","Tương đương")))))</f>
        <v/>
      </c>
    </row>
    <row r="13" customFormat="false" ht="15" hidden="false" customHeight="false" outlineLevel="0" collapsed="false">
      <c r="A13" s="14"/>
      <c r="B13" s="14"/>
      <c r="C13" s="14"/>
      <c r="D13" s="14"/>
      <c r="E13" s="14"/>
      <c r="F13" s="14"/>
      <c r="G13" s="14"/>
      <c r="H13" s="23" t="str">
        <f aca="false">IF(A13="","",AVERAGE(C13:G13))</f>
        <v/>
      </c>
      <c r="I13" s="23" t="str">
        <f aca="false">IF(A13="","",MIN(C13:G13))</f>
        <v/>
      </c>
      <c r="J13" s="23" t="str">
        <f aca="false">IF(A13="","",MAX(C13:G13))</f>
        <v/>
      </c>
      <c r="K13" s="23" t="str">
        <f aca="false">IF(A13="","",B13-H13)</f>
        <v/>
      </c>
      <c r="L13" s="13" t="str">
        <f aca="false">IF(A13="","",IF(B13&lt;I13,"Thận trọng hơn tất cả",IF(B13&gt;J13,"Cao hơn tất cả",IF(B13&lt;H13-5,"Thấp hơn mặt bằng",IF(B13&gt;H13+5,"Cao hơn mặt bằng","Tương đương")))))</f>
        <v/>
      </c>
    </row>
    <row r="15" customFormat="false" ht="15" hidden="false" customHeight="false" outlineLevel="0" collapsed="false">
      <c r="A15" s="20" t="s">
        <v>51</v>
      </c>
      <c r="B15" s="20"/>
      <c r="C15" s="20"/>
      <c r="D15" s="20"/>
      <c r="E15" s="20"/>
      <c r="F15" s="20"/>
      <c r="G15" s="20"/>
      <c r="H15" s="20"/>
      <c r="I15" s="20"/>
      <c r="J15" s="20"/>
      <c r="K15" s="20"/>
      <c r="L15" s="20"/>
    </row>
  </sheetData>
  <mergeCells count="1">
    <mergeCell ref="A15:L1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6"/>
    <col collapsed="false" customWidth="true" hidden="false" outlineLevel="0" max="3" min="3" style="0" width="17"/>
    <col collapsed="false" customWidth="true" hidden="false" outlineLevel="0" max="5" min="4" style="0" width="16"/>
    <col collapsed="false" customWidth="true" hidden="false" outlineLevel="0" max="6" min="6" style="0" width="15"/>
    <col collapsed="false" customWidth="true" hidden="false" outlineLevel="0" max="7" min="7" style="0" width="13"/>
    <col collapsed="false" customWidth="true" hidden="false" outlineLevel="0" max="8" min="8" style="0" width="14"/>
    <col collapsed="false" customWidth="true" hidden="false" outlineLevel="0" max="9" min="9" style="0" width="15"/>
    <col collapsed="false" customWidth="true" hidden="false" outlineLevel="0" max="10" min="10" style="0" width="14"/>
  </cols>
  <sheetData>
    <row r="1" customFormat="false" ht="15" hidden="false" customHeight="false" outlineLevel="0" collapsed="false">
      <c r="A1" s="21" t="s">
        <v>52</v>
      </c>
    </row>
    <row r="2" customFormat="false" ht="15" hidden="false" customHeight="false" outlineLevel="0" collapsed="false">
      <c r="A2" s="3" t="s">
        <v>53</v>
      </c>
    </row>
    <row r="4" customFormat="false" ht="15" hidden="false" customHeight="false" outlineLevel="0" collapsed="false">
      <c r="A4" s="24" t="s">
        <v>54</v>
      </c>
    </row>
    <row r="5" customFormat="false" ht="30" hidden="false" customHeight="true" outlineLevel="0" collapsed="false">
      <c r="A5" s="7" t="s">
        <v>55</v>
      </c>
      <c r="B5" s="7" t="s">
        <v>56</v>
      </c>
      <c r="C5" s="7" t="s">
        <v>9</v>
      </c>
      <c r="D5" s="7" t="s">
        <v>57</v>
      </c>
      <c r="E5" s="7" t="s">
        <v>58</v>
      </c>
      <c r="F5" s="7" t="s">
        <v>59</v>
      </c>
      <c r="G5" s="7" t="s">
        <v>60</v>
      </c>
      <c r="H5" s="7" t="s">
        <v>15</v>
      </c>
      <c r="I5" s="7" t="s">
        <v>16</v>
      </c>
      <c r="J5" s="7" t="s">
        <v>61</v>
      </c>
      <c r="K5" s="7" t="s">
        <v>62</v>
      </c>
      <c r="L5" s="7" t="s">
        <v>63</v>
      </c>
    </row>
    <row r="6" customFormat="false" ht="15" hidden="false" customHeight="false" outlineLevel="0" collapsed="false">
      <c r="A6" s="8" t="s">
        <v>64</v>
      </c>
      <c r="B6" s="8" t="s">
        <v>65</v>
      </c>
      <c r="C6" s="8" t="s">
        <v>26</v>
      </c>
      <c r="D6" s="8" t="n">
        <v>100000</v>
      </c>
      <c r="E6" s="10" t="n">
        <f aca="false">IF($C6="","",VLOOKUP($C6,'Đánh giá tác động KH'!$A$9:$K$16,4,0))</f>
        <v>26000</v>
      </c>
      <c r="F6" s="12" t="n">
        <f aca="false">IF($C6="","",VLOOKUP($C6,'Đánh giá tác động KH'!$A$9:$K$16,5,0))</f>
        <v>50</v>
      </c>
      <c r="G6" s="12" t="n">
        <f aca="false">IF($C6="","",VLOOKUP($C6,'Đánh giá tác động KH'!$A$9:$K$16,6,0))</f>
        <v>40</v>
      </c>
      <c r="H6" s="10" t="n">
        <f aca="false">IF($C6="","",VLOOKUP($C6,'Đánh giá tác động KH'!$A$9:$K$16,7,0))</f>
        <v>26000</v>
      </c>
      <c r="I6" s="10" t="n">
        <f aca="false">IF($C6="","",VLOOKUP($C6,'Đánh giá tác động KH'!$A$9:$K$16,8,0))</f>
        <v>26000</v>
      </c>
      <c r="J6" s="11" t="n">
        <f aca="false">IF($C6="","",D6*H6*F6/100)</f>
        <v>1300000000</v>
      </c>
      <c r="K6" s="11" t="n">
        <f aca="false">IF($C6="","",D6*I6*G6/100)</f>
        <v>1040000000</v>
      </c>
      <c r="L6" s="10" t="n">
        <f aca="false">IF($C6="","",D6*E6)</f>
        <v>2600000000</v>
      </c>
    </row>
    <row r="7" customFormat="false" ht="15" hidden="false" customHeight="false" outlineLevel="0" collapsed="false">
      <c r="A7" s="8" t="s">
        <v>64</v>
      </c>
      <c r="B7" s="8" t="s">
        <v>65</v>
      </c>
      <c r="C7" s="8" t="s">
        <v>27</v>
      </c>
      <c r="D7" s="8" t="n">
        <v>50000</v>
      </c>
      <c r="E7" s="10" t="n">
        <f aca="false">IF($C7="","",VLOOKUP($C7,'Đánh giá tác động KH'!$A$9:$K$16,4,0))</f>
        <v>12000</v>
      </c>
      <c r="F7" s="12" t="n">
        <f aca="false">IF($C7="","",VLOOKUP($C7,'Đánh giá tác động KH'!$A$9:$K$16,5,0))</f>
        <v>50</v>
      </c>
      <c r="G7" s="12" t="n">
        <f aca="false">IF($C7="","",VLOOKUP($C7,'Đánh giá tác động KH'!$A$9:$K$16,6,0))</f>
        <v>0</v>
      </c>
      <c r="H7" s="10" t="n">
        <f aca="false">IF($C7="","",VLOOKUP($C7,'Đánh giá tác động KH'!$A$9:$K$16,7,0))</f>
        <v>15600</v>
      </c>
      <c r="I7" s="10" t="n">
        <f aca="false">IF($C7="","",VLOOKUP($C7,'Đánh giá tác động KH'!$A$9:$K$16,8,0))</f>
        <v>0</v>
      </c>
      <c r="J7" s="11" t="n">
        <f aca="false">IF($C7="","",D7*H7*F7/100)</f>
        <v>390000000</v>
      </c>
      <c r="K7" s="11" t="n">
        <f aca="false">IF($C7="","",D7*I7*G7/100)</f>
        <v>0</v>
      </c>
      <c r="L7" s="10" t="n">
        <f aca="false">IF($C7="","",D7*E7)</f>
        <v>600000000</v>
      </c>
    </row>
    <row r="8" customFormat="false" ht="15" hidden="false" customHeight="false" outlineLevel="0" collapsed="false">
      <c r="A8" s="8" t="s">
        <v>66</v>
      </c>
      <c r="B8" s="8" t="s">
        <v>67</v>
      </c>
      <c r="C8" s="8" t="s">
        <v>26</v>
      </c>
      <c r="D8" s="8" t="n">
        <v>40000</v>
      </c>
      <c r="E8" s="10" t="n">
        <f aca="false">IF($C8="","",VLOOKUP($C8,'Đánh giá tác động KH'!$A$9:$K$16,4,0))</f>
        <v>26000</v>
      </c>
      <c r="F8" s="12" t="n">
        <f aca="false">IF($C8="","",VLOOKUP($C8,'Đánh giá tác động KH'!$A$9:$K$16,5,0))</f>
        <v>50</v>
      </c>
      <c r="G8" s="12" t="n">
        <f aca="false">IF($C8="","",VLOOKUP($C8,'Đánh giá tác động KH'!$A$9:$K$16,6,0))</f>
        <v>40</v>
      </c>
      <c r="H8" s="10" t="n">
        <f aca="false">IF($C8="","",VLOOKUP($C8,'Đánh giá tác động KH'!$A$9:$K$16,7,0))</f>
        <v>26000</v>
      </c>
      <c r="I8" s="10" t="n">
        <f aca="false">IF($C8="","",VLOOKUP($C8,'Đánh giá tác động KH'!$A$9:$K$16,8,0))</f>
        <v>26000</v>
      </c>
      <c r="J8" s="11" t="n">
        <f aca="false">IF($C8="","",D8*H8*F8/100)</f>
        <v>520000000</v>
      </c>
      <c r="K8" s="11" t="n">
        <f aca="false">IF($C8="","",D8*I8*G8/100)</f>
        <v>416000000</v>
      </c>
      <c r="L8" s="10" t="n">
        <f aca="false">IF($C8="","",D8*E8)</f>
        <v>1040000000</v>
      </c>
    </row>
    <row r="9" customFormat="false" ht="15" hidden="false" customHeight="false" outlineLevel="0" collapsed="false">
      <c r="A9" s="8" t="s">
        <v>66</v>
      </c>
      <c r="B9" s="8" t="s">
        <v>67</v>
      </c>
      <c r="C9" s="8" t="s">
        <v>28</v>
      </c>
      <c r="D9" s="8" t="n">
        <v>20000</v>
      </c>
      <c r="E9" s="10" t="n">
        <f aca="false">IF($C9="","",VLOOKUP($C9,'Đánh giá tác động KH'!$A$9:$K$16,4,0))</f>
        <v>70000</v>
      </c>
      <c r="F9" s="12" t="n">
        <f aca="false">IF($C9="","",VLOOKUP($C9,'Đánh giá tác động KH'!$A$9:$K$16,5,0))</f>
        <v>50</v>
      </c>
      <c r="G9" s="12" t="n">
        <f aca="false">IF($C9="","",VLOOKUP($C9,'Đánh giá tác động KH'!$A$9:$K$16,6,0))</f>
        <v>50</v>
      </c>
      <c r="H9" s="10" t="n">
        <f aca="false">IF($C9="","",VLOOKUP($C9,'Đánh giá tác động KH'!$A$9:$K$16,7,0))</f>
        <v>70000</v>
      </c>
      <c r="I9" s="10" t="n">
        <f aca="false">IF($C9="","",VLOOKUP($C9,'Đánh giá tác động KH'!$A$9:$K$16,8,0))</f>
        <v>70000</v>
      </c>
      <c r="J9" s="11" t="n">
        <f aca="false">IF($C9="","",D9*H9*F9/100)</f>
        <v>700000000</v>
      </c>
      <c r="K9" s="11" t="n">
        <f aca="false">IF($C9="","",D9*I9*G9/100)</f>
        <v>700000000</v>
      </c>
      <c r="L9" s="10" t="n">
        <f aca="false">IF($C9="","",D9*E9)</f>
        <v>1400000000</v>
      </c>
    </row>
    <row r="10" customFormat="false" ht="15" hidden="false" customHeight="false" outlineLevel="0" collapsed="false">
      <c r="A10" s="8" t="s">
        <v>68</v>
      </c>
      <c r="B10" s="8" t="s">
        <v>69</v>
      </c>
      <c r="C10" s="8" t="s">
        <v>27</v>
      </c>
      <c r="D10" s="8" t="n">
        <v>20000</v>
      </c>
      <c r="E10" s="10" t="n">
        <f aca="false">IF($C10="","",VLOOKUP($C10,'Đánh giá tác động KH'!$A$9:$K$16,4,0))</f>
        <v>12000</v>
      </c>
      <c r="F10" s="12" t="n">
        <f aca="false">IF($C10="","",VLOOKUP($C10,'Đánh giá tác động KH'!$A$9:$K$16,5,0))</f>
        <v>50</v>
      </c>
      <c r="G10" s="12" t="n">
        <f aca="false">IF($C10="","",VLOOKUP($C10,'Đánh giá tác động KH'!$A$9:$K$16,6,0))</f>
        <v>0</v>
      </c>
      <c r="H10" s="10" t="n">
        <f aca="false">IF($C10="","",VLOOKUP($C10,'Đánh giá tác động KH'!$A$9:$K$16,7,0))</f>
        <v>15600</v>
      </c>
      <c r="I10" s="10" t="n">
        <f aca="false">IF($C10="","",VLOOKUP($C10,'Đánh giá tác động KH'!$A$9:$K$16,8,0))</f>
        <v>0</v>
      </c>
      <c r="J10" s="11" t="n">
        <f aca="false">IF($C10="","",D10*H10*F10/100)</f>
        <v>156000000</v>
      </c>
      <c r="K10" s="11" t="n">
        <f aca="false">IF($C10="","",D10*I10*G10/100)</f>
        <v>0</v>
      </c>
      <c r="L10" s="10" t="n">
        <f aca="false">IF($C10="","",D10*E10)</f>
        <v>240000000</v>
      </c>
    </row>
    <row r="11" customFormat="false" ht="15" hidden="false" customHeight="false" outlineLevel="0" collapsed="false">
      <c r="A11" s="8" t="s">
        <v>68</v>
      </c>
      <c r="B11" s="8" t="s">
        <v>69</v>
      </c>
      <c r="C11" s="8" t="s">
        <v>26</v>
      </c>
      <c r="D11" s="8" t="n">
        <v>30000</v>
      </c>
      <c r="E11" s="10" t="n">
        <f aca="false">IF($C11="","",VLOOKUP($C11,'Đánh giá tác động KH'!$A$9:$K$16,4,0))</f>
        <v>26000</v>
      </c>
      <c r="F11" s="12" t="n">
        <f aca="false">IF($C11="","",VLOOKUP($C11,'Đánh giá tác động KH'!$A$9:$K$16,5,0))</f>
        <v>50</v>
      </c>
      <c r="G11" s="12" t="n">
        <f aca="false">IF($C11="","",VLOOKUP($C11,'Đánh giá tác động KH'!$A$9:$K$16,6,0))</f>
        <v>40</v>
      </c>
      <c r="H11" s="10" t="n">
        <f aca="false">IF($C11="","",VLOOKUP($C11,'Đánh giá tác động KH'!$A$9:$K$16,7,0))</f>
        <v>26000</v>
      </c>
      <c r="I11" s="10" t="n">
        <f aca="false">IF($C11="","",VLOOKUP($C11,'Đánh giá tác động KH'!$A$9:$K$16,8,0))</f>
        <v>26000</v>
      </c>
      <c r="J11" s="11" t="n">
        <f aca="false">IF($C11="","",D11*H11*F11/100)</f>
        <v>390000000</v>
      </c>
      <c r="K11" s="11" t="n">
        <f aca="false">IF($C11="","",D11*I11*G11/100)</f>
        <v>312000000</v>
      </c>
      <c r="L11" s="10" t="n">
        <f aca="false">IF($C11="","",D11*E11)</f>
        <v>780000000</v>
      </c>
    </row>
    <row r="12" customFormat="false" ht="15" hidden="false" customHeight="false" outlineLevel="0" collapsed="false">
      <c r="A12" s="14"/>
      <c r="B12" s="14"/>
      <c r="C12" s="14"/>
      <c r="D12" s="14"/>
      <c r="E12" s="10" t="str">
        <f aca="false">IF($C12="","",VLOOKUP($C12,'Đánh giá tác động KH'!$A$9:$K$16,4,0))</f>
        <v/>
      </c>
      <c r="F12" s="12" t="str">
        <f aca="false">IF($C12="","",VLOOKUP($C12,'Đánh giá tác động KH'!$A$9:$K$16,5,0))</f>
        <v/>
      </c>
      <c r="G12" s="12" t="str">
        <f aca="false">IF($C12="","",VLOOKUP($C12,'Đánh giá tác động KH'!$A$9:$K$16,6,0))</f>
        <v/>
      </c>
      <c r="H12" s="10" t="str">
        <f aca="false">IF($C12="","",VLOOKUP($C12,'Đánh giá tác động KH'!$A$9:$K$16,7,0))</f>
        <v/>
      </c>
      <c r="I12" s="10" t="str">
        <f aca="false">IF($C12="","",VLOOKUP($C12,'Đánh giá tác động KH'!$A$9:$K$16,8,0))</f>
        <v/>
      </c>
      <c r="J12" s="11" t="str">
        <f aca="false">IF($C12="","",D12*H12*F12/100)</f>
        <v/>
      </c>
      <c r="K12" s="11" t="str">
        <f aca="false">IF($C12="","",D12*I12*G12/100)</f>
        <v/>
      </c>
      <c r="L12" s="10" t="str">
        <f aca="false">IF($C12="","",D12*E12)</f>
        <v/>
      </c>
    </row>
    <row r="13" customFormat="false" ht="15" hidden="false" customHeight="false" outlineLevel="0" collapsed="false">
      <c r="A13" s="14"/>
      <c r="B13" s="14"/>
      <c r="C13" s="14"/>
      <c r="D13" s="14"/>
      <c r="E13" s="10" t="str">
        <f aca="false">IF($C13="","",VLOOKUP($C13,'Đánh giá tác động KH'!$A$9:$K$16,4,0))</f>
        <v/>
      </c>
      <c r="F13" s="12" t="str">
        <f aca="false">IF($C13="","",VLOOKUP($C13,'Đánh giá tác động KH'!$A$9:$K$16,5,0))</f>
        <v/>
      </c>
      <c r="G13" s="12" t="str">
        <f aca="false">IF($C13="","",VLOOKUP($C13,'Đánh giá tác động KH'!$A$9:$K$16,6,0))</f>
        <v/>
      </c>
      <c r="H13" s="10" t="str">
        <f aca="false">IF($C13="","",VLOOKUP($C13,'Đánh giá tác động KH'!$A$9:$K$16,7,0))</f>
        <v/>
      </c>
      <c r="I13" s="10" t="str">
        <f aca="false">IF($C13="","",VLOOKUP($C13,'Đánh giá tác động KH'!$A$9:$K$16,8,0))</f>
        <v/>
      </c>
      <c r="J13" s="11" t="str">
        <f aca="false">IF($C13="","",D13*H13*F13/100)</f>
        <v/>
      </c>
      <c r="K13" s="11" t="str">
        <f aca="false">IF($C13="","",D13*I13*G13/100)</f>
        <v/>
      </c>
      <c r="L13" s="10" t="str">
        <f aca="false">IF($C13="","",D13*E13)</f>
        <v/>
      </c>
    </row>
    <row r="14" customFormat="false" ht="15" hidden="false" customHeight="false" outlineLevel="0" collapsed="false">
      <c r="A14" s="14"/>
      <c r="B14" s="14"/>
      <c r="C14" s="14"/>
      <c r="D14" s="14"/>
      <c r="E14" s="10" t="str">
        <f aca="false">IF($C14="","",VLOOKUP($C14,'Đánh giá tác động KH'!$A$9:$K$16,4,0))</f>
        <v/>
      </c>
      <c r="F14" s="12" t="str">
        <f aca="false">IF($C14="","",VLOOKUP($C14,'Đánh giá tác động KH'!$A$9:$K$16,5,0))</f>
        <v/>
      </c>
      <c r="G14" s="12" t="str">
        <f aca="false">IF($C14="","",VLOOKUP($C14,'Đánh giá tác động KH'!$A$9:$K$16,6,0))</f>
        <v/>
      </c>
      <c r="H14" s="10" t="str">
        <f aca="false">IF($C14="","",VLOOKUP($C14,'Đánh giá tác động KH'!$A$9:$K$16,7,0))</f>
        <v/>
      </c>
      <c r="I14" s="10" t="str">
        <f aca="false">IF($C14="","",VLOOKUP($C14,'Đánh giá tác động KH'!$A$9:$K$16,8,0))</f>
        <v/>
      </c>
      <c r="J14" s="11" t="str">
        <f aca="false">IF($C14="","",D14*H14*F14/100)</f>
        <v/>
      </c>
      <c r="K14" s="11" t="str">
        <f aca="false">IF($C14="","",D14*I14*G14/100)</f>
        <v/>
      </c>
      <c r="L14" s="10" t="str">
        <f aca="false">IF($C14="","",D14*E14)</f>
        <v/>
      </c>
    </row>
    <row r="15" customFormat="false" ht="15" hidden="false" customHeight="false" outlineLevel="0" collapsed="false">
      <c r="A15" s="14"/>
      <c r="B15" s="14"/>
      <c r="C15" s="14"/>
      <c r="D15" s="14"/>
      <c r="E15" s="10" t="str">
        <f aca="false">IF($C15="","",VLOOKUP($C15,'Đánh giá tác động KH'!$A$9:$K$16,4,0))</f>
        <v/>
      </c>
      <c r="F15" s="12" t="str">
        <f aca="false">IF($C15="","",VLOOKUP($C15,'Đánh giá tác động KH'!$A$9:$K$16,5,0))</f>
        <v/>
      </c>
      <c r="G15" s="12" t="str">
        <f aca="false">IF($C15="","",VLOOKUP($C15,'Đánh giá tác động KH'!$A$9:$K$16,6,0))</f>
        <v/>
      </c>
      <c r="H15" s="10" t="str">
        <f aca="false">IF($C15="","",VLOOKUP($C15,'Đánh giá tác động KH'!$A$9:$K$16,7,0))</f>
        <v/>
      </c>
      <c r="I15" s="10" t="str">
        <f aca="false">IF($C15="","",VLOOKUP($C15,'Đánh giá tác động KH'!$A$9:$K$16,8,0))</f>
        <v/>
      </c>
      <c r="J15" s="11" t="str">
        <f aca="false">IF($C15="","",D15*H15*F15/100)</f>
        <v/>
      </c>
      <c r="K15" s="11" t="str">
        <f aca="false">IF($C15="","",D15*I15*G15/100)</f>
        <v/>
      </c>
      <c r="L15" s="10" t="str">
        <f aca="false">IF($C15="","",D15*E15)</f>
        <v/>
      </c>
    </row>
    <row r="16" customFormat="false" ht="15" hidden="false" customHeight="false" outlineLevel="0" collapsed="false">
      <c r="A16" s="14"/>
      <c r="B16" s="14"/>
      <c r="C16" s="14"/>
      <c r="D16" s="14"/>
      <c r="E16" s="10" t="str">
        <f aca="false">IF($C16="","",VLOOKUP($C16,'Đánh giá tác động KH'!$A$9:$K$16,4,0))</f>
        <v/>
      </c>
      <c r="F16" s="12" t="str">
        <f aca="false">IF($C16="","",VLOOKUP($C16,'Đánh giá tác động KH'!$A$9:$K$16,5,0))</f>
        <v/>
      </c>
      <c r="G16" s="12" t="str">
        <f aca="false">IF($C16="","",VLOOKUP($C16,'Đánh giá tác động KH'!$A$9:$K$16,6,0))</f>
        <v/>
      </c>
      <c r="H16" s="10" t="str">
        <f aca="false">IF($C16="","",VLOOKUP($C16,'Đánh giá tác động KH'!$A$9:$K$16,7,0))</f>
        <v/>
      </c>
      <c r="I16" s="10" t="str">
        <f aca="false">IF($C16="","",VLOOKUP($C16,'Đánh giá tác động KH'!$A$9:$K$16,8,0))</f>
        <v/>
      </c>
      <c r="J16" s="11" t="str">
        <f aca="false">IF($C16="","",D16*H16*F16/100)</f>
        <v/>
      </c>
      <c r="K16" s="11" t="str">
        <f aca="false">IF($C16="","",D16*I16*G16/100)</f>
        <v/>
      </c>
      <c r="L16" s="10" t="str">
        <f aca="false">IF($C16="","",D16*E16)</f>
        <v/>
      </c>
    </row>
    <row r="17" customFormat="false" ht="15" hidden="false" customHeight="false" outlineLevel="0" collapsed="false">
      <c r="A17" s="14"/>
      <c r="B17" s="14"/>
      <c r="C17" s="14"/>
      <c r="D17" s="14"/>
      <c r="E17" s="10" t="str">
        <f aca="false">IF($C17="","",VLOOKUP($C17,'Đánh giá tác động KH'!$A$9:$K$16,4,0))</f>
        <v/>
      </c>
      <c r="F17" s="12" t="str">
        <f aca="false">IF($C17="","",VLOOKUP($C17,'Đánh giá tác động KH'!$A$9:$K$16,5,0))</f>
        <v/>
      </c>
      <c r="G17" s="12" t="str">
        <f aca="false">IF($C17="","",VLOOKUP($C17,'Đánh giá tác động KH'!$A$9:$K$16,6,0))</f>
        <v/>
      </c>
      <c r="H17" s="10" t="str">
        <f aca="false">IF($C17="","",VLOOKUP($C17,'Đánh giá tác động KH'!$A$9:$K$16,7,0))</f>
        <v/>
      </c>
      <c r="I17" s="10" t="str">
        <f aca="false">IF($C17="","",VLOOKUP($C17,'Đánh giá tác động KH'!$A$9:$K$16,8,0))</f>
        <v/>
      </c>
      <c r="J17" s="11" t="str">
        <f aca="false">IF($C17="","",D17*H17*F17/100)</f>
        <v/>
      </c>
      <c r="K17" s="11" t="str">
        <f aca="false">IF($C17="","",D17*I17*G17/100)</f>
        <v/>
      </c>
      <c r="L17" s="10" t="str">
        <f aca="false">IF($C17="","",D17*E17)</f>
        <v/>
      </c>
    </row>
    <row r="20" customFormat="false" ht="15" hidden="false" customHeight="false" outlineLevel="0" collapsed="false">
      <c r="A20" s="24" t="s">
        <v>70</v>
      </c>
    </row>
    <row r="21" customFormat="false" ht="33.75" hidden="false" customHeight="true" outlineLevel="0" collapsed="false">
      <c r="A21" s="6" t="s">
        <v>55</v>
      </c>
      <c r="B21" s="6" t="s">
        <v>56</v>
      </c>
      <c r="C21" s="6" t="s">
        <v>71</v>
      </c>
      <c r="D21" s="6" t="s">
        <v>72</v>
      </c>
      <c r="E21" s="6" t="s">
        <v>73</v>
      </c>
      <c r="F21" s="6" t="s">
        <v>74</v>
      </c>
      <c r="G21" s="6" t="s">
        <v>75</v>
      </c>
      <c r="H21" s="6" t="s">
        <v>76</v>
      </c>
      <c r="I21" s="6" t="s">
        <v>77</v>
      </c>
      <c r="J21" s="6" t="s">
        <v>78</v>
      </c>
    </row>
    <row r="22" customFormat="false" ht="15" hidden="false" customHeight="false" outlineLevel="0" collapsed="false">
      <c r="A22" s="8" t="s">
        <v>64</v>
      </c>
      <c r="B22" s="8" t="s">
        <v>65</v>
      </c>
      <c r="C22" s="15" t="n">
        <f aca="false">SUMIF($A$6:$A$17,A22,$L$6:$L$17)</f>
        <v>3200000000</v>
      </c>
      <c r="D22" s="15" t="n">
        <f aca="false">SUMIF($A$6:$A$17,A22,$J$6:$J$17)</f>
        <v>1690000000</v>
      </c>
      <c r="E22" s="15" t="n">
        <f aca="false">SUMIF($A$6:$A$17,A22,$K$6:$K$17)</f>
        <v>1040000000</v>
      </c>
      <c r="F22" s="9" t="n">
        <v>1500000000</v>
      </c>
      <c r="G22" s="25" t="n">
        <f aca="false">IF(C22=0,0,(C22-F22)/C22)</f>
        <v>0.53125</v>
      </c>
      <c r="H22" s="25" t="n">
        <f aca="false">IF(E22=0,0,F22/E22)</f>
        <v>1.44230769230769</v>
      </c>
      <c r="I22" s="11" t="n">
        <f aca="false">MAX(0,F22-E22)</f>
        <v>460000000</v>
      </c>
      <c r="J22" s="13" t="str">
        <f aca="false">IF(I22&gt;0,"Call margin",IF(H22&gt;=0.9,"Cảnh báo",IF(E22=0,"Không còn sức vay","An toàn")))</f>
        <v>Call margin</v>
      </c>
    </row>
    <row r="23" customFormat="false" ht="15" hidden="false" customHeight="false" outlineLevel="0" collapsed="false">
      <c r="A23" s="8" t="s">
        <v>66</v>
      </c>
      <c r="B23" s="8" t="s">
        <v>67</v>
      </c>
      <c r="C23" s="15" t="n">
        <f aca="false">SUMIF($A$6:$A$17,A23,$L$6:$L$17)</f>
        <v>2440000000</v>
      </c>
      <c r="D23" s="15" t="n">
        <f aca="false">SUMIF($A$6:$A$17,A23,$J$6:$J$17)</f>
        <v>1220000000</v>
      </c>
      <c r="E23" s="15" t="n">
        <f aca="false">SUMIF($A$6:$A$17,A23,$K$6:$K$17)</f>
        <v>1116000000</v>
      </c>
      <c r="F23" s="9" t="n">
        <v>900000000</v>
      </c>
      <c r="G23" s="25" t="n">
        <f aca="false">IF(C23=0,0,(C23-F23)/C23)</f>
        <v>0.631147540983607</v>
      </c>
      <c r="H23" s="25" t="n">
        <f aca="false">IF(E23=0,0,F23/E23)</f>
        <v>0.806451612903226</v>
      </c>
      <c r="I23" s="11" t="n">
        <f aca="false">MAX(0,F23-E23)</f>
        <v>0</v>
      </c>
      <c r="J23" s="13" t="str">
        <f aca="false">IF(I23&gt;0,"Call margin",IF(H23&gt;=0.9,"Cảnh báo",IF(E23=0,"Không còn sức vay","An toàn")))</f>
        <v>An toàn</v>
      </c>
    </row>
    <row r="24" customFormat="false" ht="15" hidden="false" customHeight="false" outlineLevel="0" collapsed="false">
      <c r="A24" s="8" t="s">
        <v>68</v>
      </c>
      <c r="B24" s="8" t="s">
        <v>69</v>
      </c>
      <c r="C24" s="15" t="n">
        <f aca="false">SUMIF($A$6:$A$17,A24,$L$6:$L$17)</f>
        <v>1020000000</v>
      </c>
      <c r="D24" s="15" t="n">
        <f aca="false">SUMIF($A$6:$A$17,A24,$J$6:$J$17)</f>
        <v>546000000</v>
      </c>
      <c r="E24" s="15" t="n">
        <f aca="false">SUMIF($A$6:$A$17,A24,$K$6:$K$17)</f>
        <v>312000000</v>
      </c>
      <c r="F24" s="9" t="n">
        <v>200000000</v>
      </c>
      <c r="G24" s="25" t="n">
        <f aca="false">IF(C24=0,0,(C24-F24)/C24)</f>
        <v>0.803921568627451</v>
      </c>
      <c r="H24" s="25" t="n">
        <f aca="false">IF(E24=0,0,F24/E24)</f>
        <v>0.641025641025641</v>
      </c>
      <c r="I24" s="11" t="n">
        <f aca="false">MAX(0,F24-E24)</f>
        <v>0</v>
      </c>
      <c r="J24" s="13" t="str">
        <f aca="false">IF(I24&gt;0,"Call margin",IF(H24&gt;=0.9,"Cảnh báo",IF(E24=0,"Không còn sức vay","An toàn")))</f>
        <v>An toàn</v>
      </c>
    </row>
    <row r="25" customFormat="false" ht="15" hidden="false" customHeight="false" outlineLevel="0" collapsed="false">
      <c r="A25" s="14"/>
      <c r="B25" s="14"/>
      <c r="C25" s="15" t="str">
        <f aca="false">IF(A25="","",SUMIF($A$6:$A$17,A25,$L$6:$L$17))</f>
        <v/>
      </c>
      <c r="D25" s="15" t="str">
        <f aca="false">IF(A25="","",SUMIF($A$6:$A$17,A25,$J$6:$J$17))</f>
        <v/>
      </c>
      <c r="E25" s="15" t="str">
        <f aca="false">IF(A25="","",SUMIF($A$6:$A$17,A25,$K$6:$K$17))</f>
        <v/>
      </c>
      <c r="F25" s="14"/>
      <c r="G25" s="25" t="str">
        <f aca="false">IF(A25="","",IF(C25=0,0,(C25-F25)/C25))</f>
        <v/>
      </c>
      <c r="H25" s="25" t="str">
        <f aca="false">IF(A25="","",IF(E25=0,0,F25/E25))</f>
        <v/>
      </c>
      <c r="I25" s="15" t="str">
        <f aca="false">IF(A25="","",MAX(0,F25-E25))</f>
        <v/>
      </c>
      <c r="J25" s="14" t="str">
        <f aca="false">IF(A25="","",IF(I25&gt;0,"Call margin",IF(H25&gt;=0.9,"Cảnh báo",IF(E25=0,"Không còn sức vay","An toàn"))))</f>
        <v/>
      </c>
    </row>
    <row r="26" customFormat="false" ht="15" hidden="false" customHeight="false" outlineLevel="0" collapsed="false">
      <c r="A26" s="14"/>
      <c r="B26" s="14"/>
      <c r="C26" s="15" t="str">
        <f aca="false">IF(A26="","",SUMIF($A$6:$A$17,A26,$L$6:$L$17))</f>
        <v/>
      </c>
      <c r="D26" s="15" t="str">
        <f aca="false">IF(A26="","",SUMIF($A$6:$A$17,A26,$J$6:$J$17))</f>
        <v/>
      </c>
      <c r="E26" s="15" t="str">
        <f aca="false">IF(A26="","",SUMIF($A$6:$A$17,A26,$K$6:$K$17))</f>
        <v/>
      </c>
      <c r="F26" s="14"/>
      <c r="G26" s="25" t="str">
        <f aca="false">IF(A26="","",IF(C26=0,0,(C26-F26)/C26))</f>
        <v/>
      </c>
      <c r="H26" s="25" t="str">
        <f aca="false">IF(A26="","",IF(E26=0,0,F26/E26))</f>
        <v/>
      </c>
      <c r="I26" s="15" t="str">
        <f aca="false">IF(A26="","",MAX(0,F26-E26))</f>
        <v/>
      </c>
      <c r="J26" s="14" t="str">
        <f aca="false">IF(A26="","",IF(I26&gt;0,"Call margin",IF(H26&gt;=0.9,"Cảnh báo",IF(E26=0,"Không còn sức vay","An toàn"))))</f>
        <v/>
      </c>
    </row>
    <row r="27" customFormat="false" ht="15" hidden="false" customHeight="false" outlineLevel="0" collapsed="false">
      <c r="A27" s="14"/>
      <c r="B27" s="14"/>
      <c r="C27" s="15" t="str">
        <f aca="false">IF(A27="","",SUMIF($A$6:$A$17,A27,$L$6:$L$17))</f>
        <v/>
      </c>
      <c r="D27" s="15" t="str">
        <f aca="false">IF(A27="","",SUMIF($A$6:$A$17,A27,$J$6:$J$17))</f>
        <v/>
      </c>
      <c r="E27" s="15" t="str">
        <f aca="false">IF(A27="","",SUMIF($A$6:$A$17,A27,$K$6:$K$17))</f>
        <v/>
      </c>
      <c r="F27" s="14"/>
      <c r="G27" s="25" t="str">
        <f aca="false">IF(A27="","",IF(C27=0,0,(C27-F27)/C27))</f>
        <v/>
      </c>
      <c r="H27" s="25" t="str">
        <f aca="false">IF(A27="","",IF(E27=0,0,F27/E27))</f>
        <v/>
      </c>
      <c r="I27" s="15" t="str">
        <f aca="false">IF(A27="","",MAX(0,F27-E27))</f>
        <v/>
      </c>
      <c r="J27" s="14" t="str">
        <f aca="false">IF(A27="","",IF(I27&gt;0,"Call margin",IF(H27&gt;=0.9,"Cảnh báo",IF(E27=0,"Không còn sức vay","An toàn"))))</f>
        <v/>
      </c>
    </row>
    <row r="29" customFormat="false" ht="15" hidden="false" customHeight="false" outlineLevel="0" collapsed="false">
      <c r="A29" s="20" t="s">
        <v>79</v>
      </c>
      <c r="B29" s="20"/>
      <c r="C29" s="20"/>
      <c r="D29" s="20"/>
      <c r="E29" s="20"/>
      <c r="F29" s="20"/>
      <c r="G29" s="20"/>
      <c r="H29" s="20"/>
      <c r="I29" s="20"/>
      <c r="J29" s="20"/>
    </row>
  </sheetData>
  <mergeCells count="1">
    <mergeCell ref="A29:J2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2026-07-01T02:19:35Z</dcterms:created>
  <dc:creator>openpyxl</dc:creator>
  <dc:description/>
  <dc:language>en-US</dc:language>
  <cp:lastModifiedBy/>
  <dcterms:modified xsi:type="dcterms:W3CDTF">2026-07-01T02:19:35Z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