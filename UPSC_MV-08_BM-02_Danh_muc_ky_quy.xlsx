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 mục ký quỹ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<sst xmlns="http://schemas.openxmlformats.org/spreadsheetml/2006/main" count="32" uniqueCount="29">
  <si>
    <t xml:space="preserve">CÔNG TY CỔ PHẦN CHỨNG KHOÁN UP — BM-02</t>
  </si>
  <si>
    <t xml:space="preserve">DANH MỤC CHỨNG KHOÁN KÝ QUỸ (đính kèm Quyết định số ......../QĐ-TGĐ)</t>
  </si>
  <si>
    <t xml:space="preserve">Kỳ áp dụng:</t>
  </si>
  <si>
    <t xml:space="preserve">Tháng ...... / ........</t>
  </si>
  <si>
    <t xml:space="preserve">Ngày hiệu lực:</t>
  </si>
  <si>
    <t xml:space="preserve">...... / ...... / ..........</t>
  </si>
  <si>
    <t xml:space="preserve">Người lập (NCPT):</t>
  </si>
  <si>
    <t xml:space="preserve">............................</t>
  </si>
  <si>
    <t xml:space="preserve">Mã CK</t>
  </si>
  <si>
    <t xml:space="preserve">Sàn</t>
  </si>
  <si>
    <t xml:space="preserve">Nhóm ngành</t>
  </si>
  <si>
    <t xml:space="preserve">Phân loại</t>
  </si>
  <si>
    <t xml:space="preserve">LTV (%)</t>
  </si>
  <si>
    <t xml:space="preserve">Giá chặn (đồng)</t>
  </si>
  <si>
    <t xml:space="preserve">Room (CP)</t>
  </si>
  <si>
    <t xml:space="preserve">Hạn mức cho vay (đồng)</t>
  </si>
  <si>
    <t xml:space="preserve">Ngày hiệu lực</t>
  </si>
  <si>
    <t xml:space="preserve">Ghi chú</t>
  </si>
  <si>
    <t xml:space="preserve">VNM</t>
  </si>
  <si>
    <t xml:space="preserve">HOSE</t>
  </si>
  <si>
    <t xml:space="preserve">Phi tài chính</t>
  </si>
  <si>
    <t xml:space="preserve">Tiêu chuẩn</t>
  </si>
  <si>
    <t xml:space="preserve">VCB</t>
  </si>
  <si>
    <t xml:space="preserve">Tài chính</t>
  </si>
  <si>
    <t xml:space="preserve">XYZ</t>
  </si>
  <si>
    <t xml:space="preserve">HNX</t>
  </si>
  <si>
    <t xml:space="preserve">Cần theo dõi</t>
  </si>
  <si>
    <t xml:space="preserve">TỔNG HẠN MỨC</t>
  </si>
  <si>
    <t xml:space="preserve">Ghi chú: Hạn mức cho vay = Room (CP) × Giá chặn. Phân loại: Tiêu chuẩn / Cần theo dõi / Không cho vay.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</si>
</sst>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1"/>
      <color rgb="FF2E549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1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C3" s="4" t="s">
        <v>3</v>
      </c>
    </row>
    <row r="4" customFormat="false" ht="15" hidden="false" customHeight="false" outlineLevel="0" collapsed="false">
      <c r="A4" s="3" t="s">
        <v>4</v>
      </c>
      <c r="C4" s="4" t="s">
        <v>5</v>
      </c>
    </row>
    <row r="5" customFormat="false" ht="15" hidden="false" customHeight="false" outlineLevel="0" collapsed="false">
      <c r="A5" s="3" t="s">
        <v>6</v>
      </c>
      <c r="C5" s="4" t="s">
        <v>7</v>
      </c>
    </row>
    <row r="7" customFormat="false" ht="30" hidden="false" customHeight="true" outlineLevel="0" collapsed="false">
      <c r="A7" s="5" t="s">
        <v>8</v>
      </c>
      <c r="B7" s="5" t="s">
        <v>9</v>
      </c>
      <c r="C7" s="5" t="s">
        <v>10</v>
      </c>
      <c r="D7" s="5" t="s">
        <v>11</v>
      </c>
      <c r="E7" s="5" t="s">
        <v>12</v>
      </c>
      <c r="F7" s="5" t="s">
        <v>13</v>
      </c>
      <c r="G7" s="5" t="s">
        <v>14</v>
      </c>
      <c r="H7" s="5" t="s">
        <v>15</v>
      </c>
      <c r="I7" s="5" t="s">
        <v>16</v>
      </c>
      <c r="J7" s="5" t="s">
        <v>17</v>
      </c>
    </row>
    <row r="8" customFormat="false" ht="15" hidden="false" customHeight="false" outlineLevel="0" collapsed="false">
      <c r="A8" s="6" t="s">
        <v>18</v>
      </c>
      <c r="B8" s="6" t="s">
        <v>19</v>
      </c>
      <c r="C8" s="6" t="s">
        <v>20</v>
      </c>
      <c r="D8" s="6" t="s">
        <v>21</v>
      </c>
      <c r="E8" s="6" t="n">
        <v>50</v>
      </c>
      <c r="F8" s="7" t="n">
        <v>70000</v>
      </c>
      <c r="G8" s="7" t="n">
        <v>2500000</v>
      </c>
      <c r="H8" s="8" t="n">
        <f aca="false">F8*G8</f>
        <v>175000000000</v>
      </c>
      <c r="I8" s="6"/>
      <c r="J8" s="9"/>
    </row>
    <row r="9" customFormat="false" ht="15" hidden="false" customHeight="false" outlineLevel="0" collapsed="false">
      <c r="A9" s="6" t="s">
        <v>22</v>
      </c>
      <c r="B9" s="6" t="s">
        <v>19</v>
      </c>
      <c r="C9" s="6" t="s">
        <v>23</v>
      </c>
      <c r="D9" s="6" t="s">
        <v>21</v>
      </c>
      <c r="E9" s="6" t="n">
        <v>50</v>
      </c>
      <c r="F9" s="7" t="n">
        <v>90000</v>
      </c>
      <c r="G9" s="7" t="n">
        <v>13750000</v>
      </c>
      <c r="H9" s="8" t="n">
        <f aca="false">F9*G9</f>
        <v>1237500000000</v>
      </c>
      <c r="I9" s="6"/>
      <c r="J9" s="9"/>
    </row>
    <row r="10" customFormat="false" ht="15" hidden="false" customHeight="false" outlineLevel="0" collapsed="false">
      <c r="A10" s="6" t="s">
        <v>24</v>
      </c>
      <c r="B10" s="6" t="s">
        <v>25</v>
      </c>
      <c r="C10" s="6" t="s">
        <v>20</v>
      </c>
      <c r="D10" s="6" t="s">
        <v>26</v>
      </c>
      <c r="E10" s="6" t="n">
        <v>50</v>
      </c>
      <c r="F10" s="7" t="n">
        <v>15600</v>
      </c>
      <c r="G10" s="7" t="n">
        <v>90000</v>
      </c>
      <c r="H10" s="8" t="n">
        <f aca="false">F10*G10</f>
        <v>1404000000</v>
      </c>
      <c r="I10" s="6"/>
      <c r="J10" s="9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1" t="str">
        <f aca="false">IF(AND(F11&lt;&gt;"",G11&lt;&gt;""),F11*G11,"")</f>
        <v/>
      </c>
      <c r="I11" s="10"/>
      <c r="J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1" t="str">
        <f aca="false">IF(AND(F12&lt;&gt;"",G12&lt;&gt;""),F12*G12,"")</f>
        <v/>
      </c>
      <c r="I12" s="10"/>
      <c r="J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1" t="str">
        <f aca="false">IF(AND(F13&lt;&gt;"",G13&lt;&gt;""),F13*G13,"")</f>
        <v/>
      </c>
      <c r="I13" s="10"/>
      <c r="J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1" t="str">
        <f aca="false">IF(AND(F14&lt;&gt;"",G14&lt;&gt;""),F14*G14,"")</f>
        <v/>
      </c>
      <c r="I14" s="10"/>
      <c r="J14" s="10"/>
    </row>
    <row r="15" customFormat="false" ht="15" hidden="false" customHeight="false" outlineLevel="0" collapsed="false">
      <c r="A15" s="10"/>
      <c r="B15" s="10"/>
      <c r="C15" s="10"/>
      <c r="D15" s="12" t="s">
        <v>27</v>
      </c>
      <c r="E15" s="10"/>
      <c r="F15" s="10"/>
      <c r="G15" s="10"/>
      <c r="H15" s="13" t="n">
        <f aca="false">SUM(H8:H14)</f>
        <v>1413904000000</v>
      </c>
      <c r="I15" s="10"/>
      <c r="J15" s="10"/>
    </row>
    <row r="17" customFormat="false" ht="15" hidden="false" customHeight="false" outlineLevel="0" collapsed="false">
      <c r="A17" s="14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2026-07-01T02:02:21Z</dcterms:created>
  <dc:creator>openpyxl</dc:creator>
  <dc:description/>
  <dc:language>en-US</dc:language>
  <cp:lastModifiedBy/>
  <dcterms:modified xsi:type="dcterms:W3CDTF">2026-07-01T02:02:21Z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